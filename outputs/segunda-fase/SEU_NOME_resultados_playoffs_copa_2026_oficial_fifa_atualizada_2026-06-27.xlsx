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b64382577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_Playoffs" sheetId="1" r:id="R166223ad7aaf4b46"/>
    <x:sheet xmlns:r="http://schemas.openxmlformats.org/officeDocument/2006/relationships" name="Chaveamento" sheetId="2" r:id="Rae18daf8193c466c"/>
    <x:sheet xmlns:r="http://schemas.openxmlformats.org/officeDocument/2006/relationships" name="Fontes" sheetId="3" r:id="R67f3f1d9e26944ce"/>
    <x:sheet xmlns:r="http://schemas.openxmlformats.org/officeDocument/2006/relationships" name="Config" sheetId="4" r:id="Rde67855a97794147"/>
  </x:sheets>
</x:workbook>
</file>

<file path=xl/sharedStrings.xml><?xml version="1.0" encoding="utf-8"?>
<x:sst xmlns:x="http://schemas.openxmlformats.org/spreadsheetml/2006/main">
  <x:si>
    <x:t xml:space="preserve">Resultados dos Playoffs - Copa 2026</x:t>
  </x:si>
  <x:si>
    <x:t xml:space="preserve">ESCREVA SEU NOME AQUI</x:t>
  </x:si>
  <x:si>
    <x:t xml:space="preserve">Fase</x:t>
  </x:si>
  <x:si>
    <x:t xml:space="preserve">Jogo FIFA</x:t>
  </x:si>
  <x:si>
    <x:t xml:space="preserve">Data BR</x:t>
  </x:si>
  <x:si>
    <x:t xml:space="preserve">Hora BR</x:t>
  </x:si>
  <x:si>
    <x:t xml:space="preserve">Estádio</x:t>
  </x:si>
  <x:si>
    <x:t xml:space="preserve">Time 1</x:t>
  </x:si>
  <x:si>
    <x:t xml:space="preserve">Gols 1</x:t>
  </x:si>
  <x:si>
    <x:t xml:space="preserve">Gols 2</x:t>
  </x:si>
  <x:si>
    <x:t xml:space="preserve">Time 2</x:t>
  </x:si>
  <x:si>
    <x:t xml:space="preserve">Prorrogação</x:t>
  </x:si>
  <x:si>
    <x:t xml:space="preserve">Pênaltis 1</x:t>
  </x:si>
  <x:si>
    <x:t xml:space="preserve">Pênaltis 2</x:t>
  </x:si>
  <x:si>
    <x:t xml:space="preserve">Vencedor</x:t>
  </x:si>
  <x:si>
    <x:t xml:space="preserve">Perdedor</x:t>
  </x:si>
  <x:si>
    <x:t xml:space="preserve">Status</x:t>
  </x:si>
  <x:si>
    <x:t xml:space="preserve">Observações</x:t>
  </x:si>
  <x:si>
    <x:t xml:space="preserve">16 avos</x:t>
  </x:si>
  <x:si>
    <x:t xml:space="preserve">2026-06-28</x:t>
  </x:si>
  <x:si>
    <x:t xml:space="preserve">16:00</x:t>
  </x:si>
  <x:si>
    <x:t xml:space="preserve">Los Angeles Stadium</x:t>
  </x:si>
  <x:si>
    <x:t xml:space="preserve">South Africa</x:t>
  </x:si>
  <x:si>
    <x:t xml:space="preserve">Canada</x:t>
  </x:si>
  <x:si>
    <x:t xml:space="preserve">Não</x:t>
  </x:si>
  <x:si>
    <x:t xml:space="preserve">Pendente</x:t>
  </x:si>
  <x:si>
    <x:t xml:space="preserve">2026-06-29</x:t>
  </x:si>
  <x:si>
    <x:t xml:space="preserve">17:30</x:t>
  </x:si>
  <x:si>
    <x:t xml:space="preserve">Boston Stadium</x:t>
  </x:si>
  <x:si>
    <x:t xml:space="preserve">Germany</x:t>
  </x:si>
  <x:si>
    <x:t xml:space="preserve">3º Grupo A/B/C/D/F</x:t>
  </x:si>
  <x:si>
    <x:t xml:space="preserve">22:00</x:t>
  </x:si>
  <x:si>
    <x:t xml:space="preserve">Monterrey Stadium</x:t>
  </x:si>
  <x:si>
    <x:t xml:space="preserve">Netherlands</x:t>
  </x:si>
  <x:si>
    <x:t xml:space="preserve">Morocco</x:t>
  </x:si>
  <x:si>
    <x:t xml:space="preserve">14:00</x:t>
  </x:si>
  <x:si>
    <x:t xml:space="preserve">Houston Stadium</x:t>
  </x:si>
  <x:si>
    <x:t xml:space="preserve">Brazil</x:t>
  </x:si>
  <x:si>
    <x:t xml:space="preserve">Japan</x:t>
  </x:si>
  <x:si>
    <x:t xml:space="preserve">2026-06-30</x:t>
  </x:si>
  <x:si>
    <x:t xml:space="preserve">18:00</x:t>
  </x:si>
  <x:si>
    <x:t xml:space="preserve">New York/New Jersey Stadium</x:t>
  </x:si>
  <x:si>
    <x:t xml:space="preserve">France</x:t>
  </x:si>
  <x:si>
    <x:t xml:space="preserve">3º Grupo C/D/F/G/H</x:t>
  </x:si>
  <x:si>
    <x:t xml:space="preserve">Dallas Stadium</x:t>
  </x:si>
  <x:si>
    <x:t xml:space="preserve">Côte d'Ivoire</x:t>
  </x:si>
  <x:si>
    <x:t xml:space="preserve">Norway</x:t>
  </x:si>
  <x:si>
    <x:t xml:space="preserve">Mexico City Stadium</x:t>
  </x:si>
  <x:si>
    <x:t xml:space="preserve">Mexico</x:t>
  </x:si>
  <x:si>
    <x:t xml:space="preserve">3º Grupo C/E/F/H/I</x:t>
  </x:si>
  <x:si>
    <x:t xml:space="preserve">2026-07-01</x:t>
  </x:si>
  <x:si>
    <x:t xml:space="preserve">13:00</x:t>
  </x:si>
  <x:si>
    <x:t xml:space="preserve">Atlanta Stadium</x:t>
  </x:si>
  <x:si>
    <x:t xml:space="preserve">1º Grupo L</x:t>
  </x:si>
  <x:si>
    <x:t xml:space="preserve">3º Grupo E/H/I/J/K</x:t>
  </x:si>
  <x:si>
    <x:t xml:space="preserve">21:00</x:t>
  </x:si>
  <x:si>
    <x:t xml:space="preserve">San Francisco Bay Area Stadium</x:t>
  </x:si>
  <x:si>
    <x:t xml:space="preserve">USA</x:t>
  </x:si>
  <x:si>
    <x:t xml:space="preserve">Bosnia and Herzegovina</x:t>
  </x:si>
  <x:si>
    <x:t xml:space="preserve">17:00</x:t>
  </x:si>
  <x:si>
    <x:t xml:space="preserve">Seattle Stadium</x:t>
  </x:si>
  <x:si>
    <x:t xml:space="preserve">3º Grupo A/E/H/I/J</x:t>
  </x:si>
  <x:si>
    <x:t xml:space="preserve">2026-07-02</x:t>
  </x:si>
  <x:si>
    <x:t xml:space="preserve">20:00</x:t>
  </x:si>
  <x:si>
    <x:t xml:space="preserve">Toronto Stadium</x:t>
  </x:si>
  <x:si>
    <x:t xml:space="preserve">2º Grupo K</x:t>
  </x:si>
  <x:si>
    <x:t xml:space="preserve">2º Grupo L</x:t>
  </x:si>
  <x:si>
    <x:t xml:space="preserve">2º Grupo J</x:t>
  </x:si>
  <x:si>
    <x:t xml:space="preserve">2026-07-03</x:t>
  </x:si>
  <x:si>
    <x:t xml:space="preserve">00:00</x:t>
  </x:si>
  <x:si>
    <x:t xml:space="preserve">BC Place Vancouver</x:t>
  </x:si>
  <x:si>
    <x:t xml:space="preserve">Switzerland</x:t>
  </x:si>
  <x:si>
    <x:t xml:space="preserve">3º Grupo E/F/G/I/J</x:t>
  </x:si>
  <x:si>
    <x:t xml:space="preserve">19:00</x:t>
  </x:si>
  <x:si>
    <x:t xml:space="preserve">Miami Stadium</x:t>
  </x:si>
  <x:si>
    <x:t xml:space="preserve">Argentina</x:t>
  </x:si>
  <x:si>
    <x:t xml:space="preserve">22:30</x:t>
  </x:si>
  <x:si>
    <x:t xml:space="preserve">Kansas City Stadium</x:t>
  </x:si>
  <x:si>
    <x:t xml:space="preserve">1º Grupo K</x:t>
  </x:si>
  <x:si>
    <x:t xml:space="preserve">3º Grupo D/E/I/J/L</x:t>
  </x:si>
  <x:si>
    <x:t xml:space="preserve">15:00</x:t>
  </x:si>
  <x:si>
    <x:t xml:space="preserve">Australia</x:t>
  </x:si>
  <x:si>
    <x:t xml:space="preserve">Oitavas</x:t>
  </x:si>
  <x:si>
    <x:t xml:space="preserve">2026-07-04</x:t>
  </x:si>
  <x:si>
    <x:t xml:space="preserve">Philadelphia Stadium</x:t>
  </x:si>
  <x:si>
    <x:t xml:space="preserve">2026-07-05</x:t>
  </x:si>
  <x:si>
    <x:t xml:space="preserve">2026-07-06</x:t>
  </x:si>
  <x:si>
    <x:t xml:space="preserve">2026-07-07</x:t>
  </x:si>
  <x:si>
    <x:t xml:space="preserve">Quartas</x:t>
  </x:si>
  <x:si>
    <x:t xml:space="preserve">2026-07-09</x:t>
  </x:si>
  <x:si>
    <x:t xml:space="preserve">2026-07-10</x:t>
  </x:si>
  <x:si>
    <x:t xml:space="preserve">2026-07-11</x:t>
  </x:si>
  <x:si>
    <x:t xml:space="preserve">Semifinal</x:t>
  </x:si>
  <x:si>
    <x:t xml:space="preserve">2026-07-14</x:t>
  </x:si>
  <x:si>
    <x:t xml:space="preserve">2026-07-15</x:t>
  </x:si>
  <x:si>
    <x:t xml:space="preserve">3º lugar</x:t>
  </x:si>
  <x:si>
    <x:t xml:space="preserve">2026-07-18</x:t>
  </x:si>
  <x:si>
    <x:t xml:space="preserve">Final</x:t>
  </x:si>
  <x:si>
    <x:t xml:space="preserve">2026-07-19</x:t>
  </x:si>
  <x:si>
    <x:t xml:space="preserve">Chaveamento oficial FIFA</x:t>
  </x:si>
  <x:si>
    <x:t xml:space="preserve">Resumo</x:t>
  </x:si>
  <x:si>
    <x:t xml:space="preserve">Times já definidos pela FIFA aparecem preenchidos; vencedores/perdedores avançam automaticamente conforme os resultados.</x:t>
  </x:si>
  <x:si>
    <x:t xml:space="preserve">Jogos de mata-mata</x:t>
  </x:si>
  <x:si>
    <x:t xml:space="preserve">Placar</x:t>
  </x:si>
  <x:si>
    <x:t xml:space="preserve">Jogos com time 1 definido</x:t>
  </x:si>
  <x:si>
    <x:t xml:space="preserve">Jogos com time 2 definido</x:t>
  </x:si>
  <x:si>
    <x:t xml:space="preserve">Jogos finalizados</x:t>
  </x:si>
  <x:si>
    <x:t xml:space="preserve">Pendentes</x:t>
  </x:si>
  <x:si>
    <x:t xml:space="preserve">Empates a resolver</x:t>
  </x:si>
  <x:si>
    <x:t xml:space="preserve">Terceiro lugar</x:t>
  </x:si>
  <x:si>
    <x:t xml:space="preserve">Jogo 103</x:t>
  </x:si>
  <x:si>
    <x:t xml:space="preserve">Jogo 104</x:t>
  </x:si>
  <x:si>
    <x:t xml:space="preserve">Fonte</x:t>
  </x:si>
  <x:si>
    <x:t xml:space="preserve">URL</x:t>
  </x:si>
  <x:si>
    <x:t xml:space="preserve">Uso</x:t>
  </x:si>
  <x:si>
    <x:t xml:space="preserve">Observação</x:t>
  </x:si>
  <x:si>
    <x:t xml:space="preserve">FIFA Scores &amp; Fixtures</x:t>
  </x:si>
  <x:si>
    <x:t xml:space="preserve">https://www.fifa.com/en/tournaments/mens/worldcup/canadamexicousa2026/scores-fixtures</x:t>
  </x:si>
  <x:si>
    <x:t xml:space="preserve">Página pública oficial</x:t>
  </x:si>
  <x:si>
    <x:t xml:space="preserve">Use para conferência visual dos jogos.</x:t>
  </x:si>
  <x:si>
    <x:t xml:space="preserve">FIFA API</x:t>
  </x:si>
  <x:si>
    <x:t xml:space="preserve">https://api.fifa.com/api/v3/calendar/matches?language=en&amp;count=120&amp;idCompetition=17&amp;idSeason=285023</x:t>
  </x:si>
  <x:si>
    <x:t xml:space="preserve">Dados oficiais de calendário</x:t>
  </x:si>
  <x:si>
    <x:t xml:space="preserve">Endpoint usado para preencher jogos 73 a 104.</x:t>
  </x:si>
  <x:si>
    <x:t xml:space="preserve">Fuso horário</x:t>
  </x:si>
  <x:si>
    <x:t xml:space="preserve">America/Sao_Paulo</x:t>
  </x:si>
  <x:si>
    <x:t xml:space="preserve">Data e hora BR</x:t>
  </x:si>
  <x:si>
    <x:t xml:space="preserve">Datas/hora convertidas a partir do horário UTC da FIFA.</x:t>
  </x:si>
  <x:si>
    <x:t xml:space="preserve">Em andamento</x:t>
  </x:si>
  <x:si>
    <x:t xml:space="preserve">Sim</x:t>
  </x:si>
  <x:si>
    <x:t xml:space="preserve">Finalizado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</x:si>
</x:sst>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304455"/>
      <x:name val="Carlito"/>
    </x:font>
    <x:font>
      <x:sz val="24"/>
      <x:name val="Carlito"/>
    </x:font>
    <x:font>
      <x:b/>
      <x:sz val="11"/>
      <x:color rgb="FF173B57"/>
      <x:name val="Carlito"/>
    </x:font>
    <x:font>
      <x:b/>
      <x:sz val="11"/>
      <x:color rgb="FF0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AF3F8"/>
      </x:patternFill>
    </x:fill>
    <x:fill>
      <x:patternFill patternType="solid">
        <x:fgColor rgb="FF2F6688"/>
      </x:patternFill>
    </x:fill>
    <x:fill>
      <x:patternFill patternType="solid">
        <x:fgColor rgb="FFDCEEF9"/>
      </x:patternFill>
    </x:fill>
    <x:fill>
      <x:patternFill patternType="solid">
        <x:fgColor rgb="FFF4F7FA"/>
      </x:patternFill>
    </x:fill>
    <x:fill>
      <x:patternFill patternType="solid">
        <x:fgColor rgb="FFFFFF00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4" borderId="0" xfId="0" applyFont="1" applyFill="1" applyAlignment="1">
      <x:alignment horizontal="center" vertical="center"/>
    </x:xf>
    <x:xf numFmtId="0" fontId="0" fillId="5" borderId="0" xfId="0" applyFill="1"/>
    <x:xf numFmtId="0" fontId="0" fillId="6" borderId="0" xfId="0" applyFill="1"/>
    <x:xf numFmtId="164" fontId="0" fillId="5" borderId="0" xfId="0" applyNumberFormat="1" applyFill="1"/>
    <x:xf numFmtId="20" fontId="0" fillId="5" borderId="0" xfId="0" applyNumberFormat="1" applyFill="1"/>
    <x:xf numFmtId="1" fontId="0" fillId="5" borderId="0" xfId="0" applyNumberFormat="1" applyFill="1"/>
    <x:xf numFmtId="164" fontId="0" fillId="0" borderId="0" xfId="0" applyNumberFormat="1"/>
    <x:xf numFmtId="20" fontId="0" fillId="0" borderId="0" xfId="0" applyNumberFormat="1"/>
    <x:xf numFmtId="0" fontId="2" fillId="2" borderId="0" xfId="0" applyFont="1" applyFill="1" applyAlignment="1">
      <x:alignment horizontal="center" vertical="center"/>
    </x:xf>
    <x:xf numFmtId="0" fontId="3" fillId="3" borderId="0" xfId="0" applyFont="1" applyFill="1" applyAlignment="1">
      <x:alignment horizontal="center"/>
    </x:xf>
    <x:xf numFmtId="0" fontId="4" fillId="7" borderId="0" xfId="0" applyFont="1" applyFill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1" xfId="0" applyNumberFormat="1" applyFont="1" applyFill="1" applyBorder="1" applyAlignment="1">
      <x:alignment wrapText="0"/>
    </x:xf>
    <x:xf numFmtId="0" fontId="5" fillId="8" borderId="2" xfId="0" applyNumberFormat="1" applyFont="1" applyFill="1" applyBorder="1" applyAlignment="1">
      <x:alignment wrapText="0"/>
    </x:xf>
    <x:xf numFmtId="0" fontId="5" fillId="8" borderId="3" xfId="0" applyNumberFormat="1" applyFont="1" applyFill="1" applyBorder="1" applyAlignment="1">
      <x:alignment wrapText="0"/>
    </x:xf>
    <x:xf numFmtId="0" fontId="5" fillId="8" borderId="4" xfId="0" applyNumberFormat="1" applyFont="1" applyFill="1" applyBorder="1" applyAlignment="1">
      <x:alignment wrapText="0"/>
    </x:xf>
    <x:xf numFmtId="0" fontId="5" fillId="8" borderId="5" xfId="0" applyNumberFormat="1" applyFont="1" applyFill="1" applyBorder="1" applyAlignment="1">
      <x:alignment wrapText="0"/>
    </x:xf>
    <x:xf numFmtId="0" fontId="5" fillId="8" borderId="6" xfId="0" applyNumberFormat="1" applyFont="1" applyFill="1" applyBorder="1" applyAlignment="1">
      <x:alignment wrapText="0"/>
    </x:xf>
    <x:xf numFmtId="0" fontId="5" fillId="8" borderId="1" xfId="0" applyNumberFormat="1" applyFont="1" applyFill="1" applyBorder="1" applyAlignment="1">
      <x:alignment horizontal="center" wrapText="0"/>
    </x:xf>
    <x:xf numFmtId="0" fontId="5" fillId="8" borderId="2" xfId="0" applyNumberFormat="1" applyFont="1" applyFill="1" applyBorder="1" applyAlignment="1">
      <x:alignment horizontal="center" wrapText="0"/>
    </x:xf>
    <x:xf numFmtId="0" fontId="5" fillId="8" borderId="3" xfId="0" applyNumberFormat="1" applyFont="1" applyFill="1" applyBorder="1" applyAlignment="1">
      <x:alignment horizontal="center" wrapText="0"/>
    </x:xf>
    <x:xf numFmtId="0" fontId="5" fillId="8" borderId="4" xfId="0" applyNumberFormat="1" applyFont="1" applyFill="1" applyBorder="1" applyAlignment="1">
      <x:alignment horizontal="center" wrapText="0"/>
    </x:xf>
    <x:xf numFmtId="0" fontId="5" fillId="8" borderId="5" xfId="0" applyNumberFormat="1" applyFont="1" applyFill="1" applyBorder="1" applyAlignment="1">
      <x:alignment horizontal="center" wrapText="0"/>
    </x:xf>
    <x:xf numFmtId="0" fontId="5" fillId="8" borderId="6" xfId="0" applyNumberFormat="1" applyFont="1" applyFill="1" applyBorder="1" applyAlignment="1">
      <x:alignment horizontal="center" wrapText="0"/>
    </x:xf>
    <x:xf numFmtId="0" fontId="6" fillId="8" borderId="4" xfId="0" applyNumberFormat="1" applyFont="1" applyFill="1" applyBorder="1" applyAlignment="1">
      <x:alignment horizontal="center" wrapText="0"/>
    </x:xf>
    <x:xf numFmtId="0" fontId="5" fillId="8" borderId="1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3" xfId="0" applyNumberFormat="1" applyFont="1" applyFill="1" applyBorder="1" applyAlignment="1">
      <x:alignment horizontal="center" wrapText="1"/>
    </x:xf>
    <x:xf numFmtId="0" fontId="5" fillId="8" borderId="4" xfId="0" applyNumberFormat="1" applyFont="1" applyFill="1" applyBorder="1" applyAlignment="1">
      <x:alignment horizontal="center" wrapText="1"/>
    </x:xf>
    <x:xf numFmtId="0" fontId="5" fillId="8" borderId="6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7bffc1bb54529" /><Relationship Type="http://schemas.openxmlformats.org/officeDocument/2006/relationships/theme" Target="/xl/theme/theme1.xml" Id="R54651d2a87b44f64" /><Relationship Type="http://schemas.openxmlformats.org/officeDocument/2006/relationships/sharedStrings" Target="/xl/sharedStrings.xml" Id="R859c6a4616de4893" /><Relationship Type="http://schemas.openxmlformats.org/officeDocument/2006/relationships/worksheet" Target="/xl/worksheets/sheet1.xml" Id="R166223ad7aaf4b46" /><Relationship Type="http://schemas.openxmlformats.org/officeDocument/2006/relationships/worksheet" Target="/xl/worksheets/sheet2.xml" Id="Rae18daf8193c466c" /><Relationship Type="http://schemas.openxmlformats.org/officeDocument/2006/relationships/worksheet" Target="/xl/worksheets/sheet3.xml" Id="R67f3f1d9e26944ce" /><Relationship Type="http://schemas.openxmlformats.org/officeDocument/2006/relationships/worksheet" Target="/xl/worksheets/sheet4.xml" Id="Rde67855a977941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5.5" customWidth="1"/>
    <x:col min="2" max="2" width="8.83203125" customWidth="1"/>
    <x:col min="3" max="3" width="10" customWidth="1"/>
    <x:col min="4" max="4" width="8.33203125" customWidth="1"/>
    <x:col min="5" max="5" width="21.1640625" customWidth="1"/>
    <x:col min="6" max="6" width="18.83203125" customWidth="1"/>
    <x:col min="7" max="8" width="7.1640625" customWidth="1"/>
    <x:col min="9" max="9" width="20" customWidth="1"/>
    <x:col min="10" max="10" width="11.6640625" customWidth="1"/>
    <x:col min="11" max="12" width="9.5" customWidth="1"/>
    <x:col min="13" max="14" width="20" customWidth="1"/>
    <x:col min="15" max="15" width="12.83203125" hidden="1" customWidth="1"/>
    <x:col min="16" max="16" width="25.5" hidden="1" customWidth="1"/>
  </x:cols>
  <x:sheetData>
    <x:row r="1" ht="36" customHeight="1">
      <x:c r="A1" s="9" t="s">
        <x:v>0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</x:row>
    <x:row r="2" ht="28" customHeight="1">
      <x:c r="A2" s="10" t="str">
        <x:v>Atualizada com os placares de 2026-06-26. Preencha as células em azul claro. Vagas dos Grupos J/K/L e alguns melhores terceiros dependem dos jogos de 2026-06-27.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3" ht="31">
      <x:c r="A3" s="11" t="s">
        <x:v>1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4" ht="30" customHeight="1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  <x:c r="K4" s="1" t="s">
        <x:v>12</x:v>
      </x:c>
      <x:c r="L4" s="1" t="s">
        <x:v>13</x:v>
      </x:c>
      <x:c r="M4" s="1" t="s">
        <x:v>14</x:v>
      </x:c>
      <x:c r="N4" s="1" t="s">
        <x:v>15</x:v>
      </x:c>
      <x:c r="O4" s="1" t="s">
        <x:v>16</x:v>
      </x:c>
      <x:c r="P4" s="1" t="s">
        <x:v>17</x:v>
      </x:c>
    </x:row>
    <x:row r="5">
      <x:c r="A5" t="s">
        <x:v>18</x:v>
      </x:c>
      <x:c r="B5">
        <x:v>73</x:v>
      </x:c>
      <x:c r="C5" s="4" t="s">
        <x:v>19</x:v>
      </x:c>
      <x:c r="D5" s="5" t="s">
        <x:v>20</x:v>
      </x:c>
      <x:c r="E5" t="s">
        <x:v>21</x:v>
      </x:c>
      <x:c r="F5" t="s">
        <x:v>22</x:v>
      </x:c>
      <x:c r="G5" s="6"/>
      <x:c r="H5" s="6"/>
      <x:c r="I5" t="s">
        <x:v>23</x:v>
      </x:c>
      <x:c r="J5" s="2" t="s">
        <x:v>24</x:v>
      </x:c>
      <x:c r="K5" s="6"/>
      <x:c r="L5" s="6"/>
      <x:c r="M5" s="3" t="str">
        <x:f t="shared" ref="M5:M36" si="0">IF(OR(G5="",H5=""),"",IF(G5&gt;H5,F5,IF(H5&gt;G5,I5,IF(AND(K5&lt;&gt;"",L5&lt;&gt;""),IF(K5&gt;L5,F5,IF(L5&gt;K5,I5,"Empate nos pênaltis")),"Definir pênaltis"))))</x:f>
      </x:c>
      <x:c r="N5" s="3" t="str">
        <x:f t="shared" ref="N5:N36" si="1">IF(OR(G5="",H5=""),"",IF(G5&gt;H5,I5,IF(H5&gt;G5,F5,IF(AND(K5&lt;&gt;"",L5&lt;&gt;""),IF(K5&gt;L5,I5,IF(L5&gt;K5,F5,"Empate nos pênaltis")),"Definir pênaltis"))))</x:f>
      </x:c>
      <x:c r="O5" s="2" t="s">
        <x:v>25</x:v>
      </x:c>
      <x:c r="P5" s="2"/>
    </x:row>
    <x:row r="6">
      <x:c r="A6" t="s">
        <x:v>18</x:v>
      </x:c>
      <x:c r="B6">
        <x:v>74</x:v>
      </x:c>
      <x:c r="C6" s="4" t="s">
        <x:v>26</x:v>
      </x:c>
      <x:c r="D6" s="5" t="s">
        <x:v>27</x:v>
      </x:c>
      <x:c r="E6" t="s">
        <x:v>28</x:v>
      </x:c>
      <x:c r="F6" t="s">
        <x:v>29</x:v>
      </x:c>
      <x:c r="G6" s="6"/>
      <x:c r="H6" s="6"/>
      <x:c r="I6" t="s">
        <x:v>30</x:v>
      </x:c>
      <x:c r="J6" s="2" t="s">
        <x:v>24</x:v>
      </x:c>
      <x:c r="K6" s="6"/>
      <x:c r="L6" s="6"/>
      <x:c r="M6" s="3" t="str">
        <x:f t="shared" si="0"/>
      </x:c>
      <x:c r="N6" s="3" t="str">
        <x:f t="shared" si="1"/>
      </x:c>
      <x:c r="O6" s="2" t="s">
        <x:v>25</x:v>
      </x:c>
      <x:c r="P6" s="2"/>
    </x:row>
    <x:row r="7">
      <x:c r="A7" t="s">
        <x:v>18</x:v>
      </x:c>
      <x:c r="B7">
        <x:v>75</x:v>
      </x:c>
      <x:c r="C7" s="4" t="s">
        <x:v>26</x:v>
      </x:c>
      <x:c r="D7" s="5" t="s">
        <x:v>31</x:v>
      </x:c>
      <x:c r="E7" t="s">
        <x:v>32</x:v>
      </x:c>
      <x:c r="F7" t="s">
        <x:v>33</x:v>
      </x:c>
      <x:c r="G7" s="6"/>
      <x:c r="H7" s="6"/>
      <x:c r="I7" t="s">
        <x:v>34</x:v>
      </x:c>
      <x:c r="J7" s="2" t="s">
        <x:v>24</x:v>
      </x:c>
      <x:c r="K7" s="6"/>
      <x:c r="L7" s="6"/>
      <x:c r="M7" s="3" t="str">
        <x:f t="shared" si="0"/>
      </x:c>
      <x:c r="N7" s="3" t="str">
        <x:f t="shared" si="1"/>
      </x:c>
      <x:c r="O7" s="2" t="s">
        <x:v>25</x:v>
      </x:c>
      <x:c r="P7" s="2"/>
    </x:row>
    <x:row r="8">
      <x:c r="A8" t="s">
        <x:v>18</x:v>
      </x:c>
      <x:c r="B8">
        <x:v>76</x:v>
      </x:c>
      <x:c r="C8" s="4" t="s">
        <x:v>26</x:v>
      </x:c>
      <x:c r="D8" s="5" t="s">
        <x:v>35</x:v>
      </x:c>
      <x:c r="E8" t="s">
        <x:v>36</x:v>
      </x:c>
      <x:c r="F8" t="s">
        <x:v>37</x:v>
      </x:c>
      <x:c r="G8" s="6"/>
      <x:c r="H8" s="6"/>
      <x:c r="I8" t="s">
        <x:v>38</x:v>
      </x:c>
      <x:c r="J8" s="2" t="s">
        <x:v>24</x:v>
      </x:c>
      <x:c r="K8" s="6"/>
      <x:c r="L8" s="6"/>
      <x:c r="M8" s="3" t="str">
        <x:f t="shared" si="0"/>
      </x:c>
      <x:c r="N8" s="3" t="str">
        <x:f t="shared" si="1"/>
      </x:c>
      <x:c r="O8" s="2" t="s">
        <x:v>25</x:v>
      </x:c>
      <x:c r="P8" s="2"/>
    </x:row>
    <x:row r="9">
      <x:c r="A9" t="s">
        <x:v>18</x:v>
      </x:c>
      <x:c r="B9">
        <x:v>77</x:v>
      </x:c>
      <x:c r="C9" s="4" t="s">
        <x:v>39</x:v>
      </x:c>
      <x:c r="D9" s="5" t="s">
        <x:v>40</x:v>
      </x:c>
      <x:c r="E9" t="s">
        <x:v>41</x:v>
      </x:c>
      <x:c r="F9" t="s">
        <x:v>42</x:v>
      </x:c>
      <x:c r="G9" s="6"/>
      <x:c r="H9" s="6"/>
      <x:c r="I9" t="s">
        <x:v>43</x:v>
      </x:c>
      <x:c r="J9" s="2" t="s">
        <x:v>24</x:v>
      </x:c>
      <x:c r="K9" s="6"/>
      <x:c r="L9" s="6"/>
      <x:c r="M9" s="3" t="str">
        <x:f t="shared" si="0"/>
      </x:c>
      <x:c r="N9" s="3" t="str">
        <x:f t="shared" si="1"/>
      </x:c>
      <x:c r="O9" s="2" t="s">
        <x:v>25</x:v>
      </x:c>
      <x:c r="P9" s="2" t="str">
        <x:v>Grupo I definido em 2026-06-26</x:v>
      </x:c>
    </x:row>
    <x:row r="10">
      <x:c r="A10" t="s">
        <x:v>18</x:v>
      </x:c>
      <x:c r="B10">
        <x:v>78</x:v>
      </x:c>
      <x:c r="C10" s="4" t="s">
        <x:v>39</x:v>
      </x:c>
      <x:c r="D10" s="5" t="s">
        <x:v>35</x:v>
      </x:c>
      <x:c r="E10" t="s">
        <x:v>44</x:v>
      </x:c>
      <x:c r="F10" t="s">
        <x:v>45</x:v>
      </x:c>
      <x:c r="G10" s="6"/>
      <x:c r="H10" s="6"/>
      <x:c r="I10" t="s">
        <x:v>46</x:v>
      </x:c>
      <x:c r="J10" s="2" t="s">
        <x:v>24</x:v>
      </x:c>
      <x:c r="K10" s="6"/>
      <x:c r="L10" s="6"/>
      <x:c r="M10" s="3" t="str">
        <x:f t="shared" si="0"/>
      </x:c>
      <x:c r="N10" s="3" t="str">
        <x:f t="shared" si="1"/>
      </x:c>
      <x:c r="O10" s="2" t="s">
        <x:v>25</x:v>
      </x:c>
      <x:c r="P10" s="2" t="str">
        <x:v>Grupo I definido em 2026-06-26</x:v>
      </x:c>
    </x:row>
    <x:row r="11">
      <x:c r="A11" t="s">
        <x:v>18</x:v>
      </x:c>
      <x:c r="B11">
        <x:v>79</x:v>
      </x:c>
      <x:c r="C11" s="4" t="s">
        <x:v>39</x:v>
      </x:c>
      <x:c r="D11" s="5" t="s">
        <x:v>31</x:v>
      </x:c>
      <x:c r="E11" t="s">
        <x:v>47</x:v>
      </x:c>
      <x:c r="F11" t="s">
        <x:v>48</x:v>
      </x:c>
      <x:c r="G11" s="6"/>
      <x:c r="H11" s="6"/>
      <x:c r="I11" t="s">
        <x:v>49</x:v>
      </x:c>
      <x:c r="J11" s="2" t="s">
        <x:v>24</x:v>
      </x:c>
      <x:c r="K11" s="6"/>
      <x:c r="L11" s="6"/>
      <x:c r="M11" s="3" t="str">
        <x:f t="shared" si="0"/>
      </x:c>
      <x:c r="N11" s="3" t="str">
        <x:f t="shared" si="1"/>
      </x:c>
      <x:c r="O11" s="2" t="s">
        <x:v>25</x:v>
      </x:c>
      <x:c r="P11" s="2"/>
    </x:row>
    <x:row r="12">
      <x:c r="A12" t="s">
        <x:v>18</x:v>
      </x:c>
      <x:c r="B12">
        <x:v>80</x:v>
      </x:c>
      <x:c r="C12" s="4" t="s">
        <x:v>50</x:v>
      </x:c>
      <x:c r="D12" s="5" t="s">
        <x:v>51</x:v>
      </x:c>
      <x:c r="E12" t="s">
        <x:v>52</x:v>
      </x:c>
      <x:c r="F12" t="s">
        <x:v>53</x:v>
      </x:c>
      <x:c r="G12" s="6"/>
      <x:c r="H12" s="6"/>
      <x:c r="I12" t="s">
        <x:v>54</x:v>
      </x:c>
      <x:c r="J12" s="2" t="s">
        <x:v>24</x:v>
      </x:c>
      <x:c r="K12" s="6"/>
      <x:c r="L12" s="6"/>
      <x:c r="M12" s="3" t="str">
        <x:f t="shared" si="0"/>
      </x:c>
      <x:c r="N12" s="3" t="str">
        <x:f t="shared" si="1"/>
      </x:c>
      <x:c r="O12" s="2" t="s">
        <x:v>25</x:v>
      </x:c>
      <x:c r="P12" s="2" t="str">
        <x:v>A definir após jogos de 2026-06-27</x:v>
      </x:c>
    </x:row>
    <x:row r="13">
      <x:c r="A13" t="s">
        <x:v>18</x:v>
      </x:c>
      <x:c r="B13">
        <x:v>81</x:v>
      </x:c>
      <x:c r="C13" s="4" t="s">
        <x:v>50</x:v>
      </x:c>
      <x:c r="D13" s="5" t="s">
        <x:v>55</x:v>
      </x:c>
      <x:c r="E13" t="s">
        <x:v>56</x:v>
      </x:c>
      <x:c r="F13" t="s">
        <x:v>57</x:v>
      </x:c>
      <x:c r="G13" s="6"/>
      <x:c r="H13" s="6"/>
      <x:c r="I13" t="s">
        <x:v>58</x:v>
      </x:c>
      <x:c r="J13" s="2" t="s">
        <x:v>24</x:v>
      </x:c>
      <x:c r="K13" s="6"/>
      <x:c r="L13" s="6"/>
      <x:c r="M13" s="3" t="str">
        <x:f t="shared" si="0"/>
      </x:c>
      <x:c r="N13" s="3" t="str">
        <x:f t="shared" si="1"/>
      </x:c>
      <x:c r="O13" s="2" t="s">
        <x:v>25</x:v>
      </x:c>
      <x:c r="P13" s="2" t="str">
        <x:v>Melhor terceiro ainda depende dos jogos de 2026-06-27</x:v>
      </x:c>
    </x:row>
    <x:row r="14">
      <x:c r="A14" t="s">
        <x:v>18</x:v>
      </x:c>
      <x:c r="B14">
        <x:v>82</x:v>
      </x:c>
      <x:c r="C14" s="4" t="s">
        <x:v>50</x:v>
      </x:c>
      <x:c r="D14" s="5" t="s">
        <x:v>59</x:v>
      </x:c>
      <x:c r="E14" t="s">
        <x:v>60</x:v>
      </x:c>
      <x:c r="F14" t="str">
        <x:v>Belgium</x:v>
      </x:c>
      <x:c r="G14" s="6"/>
      <x:c r="H14" s="6"/>
      <x:c r="I14" t="s">
        <x:v>61</x:v>
      </x:c>
      <x:c r="J14" s="2" t="s">
        <x:v>24</x:v>
      </x:c>
      <x:c r="K14" s="6"/>
      <x:c r="L14" s="6"/>
      <x:c r="M14" s="3" t="str">
        <x:f t="shared" si="0"/>
      </x:c>
      <x:c r="N14" s="3" t="str">
        <x:f t="shared" si="1"/>
      </x:c>
      <x:c r="O14" s="2" t="s">
        <x:v>25</x:v>
      </x:c>
      <x:c r="P14" s="2" t="str">
        <x:v>Grupo G definido antes de 2026-06-27</x:v>
      </x:c>
    </x:row>
    <x:row r="15">
      <x:c r="A15" t="s">
        <x:v>18</x:v>
      </x:c>
      <x:c r="B15">
        <x:v>83</x:v>
      </x:c>
      <x:c r="C15" s="4" t="s">
        <x:v>62</x:v>
      </x:c>
      <x:c r="D15" s="5" t="s">
        <x:v>63</x:v>
      </x:c>
      <x:c r="E15" t="s">
        <x:v>64</x:v>
      </x:c>
      <x:c r="F15" t="s">
        <x:v>65</x:v>
      </x:c>
      <x:c r="G15" s="6"/>
      <x:c r="H15" s="6"/>
      <x:c r="I15" t="s">
        <x:v>66</x:v>
      </x:c>
      <x:c r="J15" s="2" t="s">
        <x:v>24</x:v>
      </x:c>
      <x:c r="K15" s="6"/>
      <x:c r="L15" s="6"/>
      <x:c r="M15" s="3" t="str">
        <x:f t="shared" si="0"/>
      </x:c>
      <x:c r="N15" s="3" t="str">
        <x:f t="shared" si="1"/>
      </x:c>
      <x:c r="O15" s="2" t="s">
        <x:v>25</x:v>
      </x:c>
      <x:c r="P15" s="2" t="str">
        <x:v>A definir após jogos de 2026-06-27</x:v>
      </x:c>
    </x:row>
    <x:row r="16">
      <x:c r="A16" t="s">
        <x:v>18</x:v>
      </x:c>
      <x:c r="B16">
        <x:v>84</x:v>
      </x:c>
      <x:c r="C16" s="4" t="s">
        <x:v>62</x:v>
      </x:c>
      <x:c r="D16" s="5" t="s">
        <x:v>20</x:v>
      </x:c>
      <x:c r="E16" t="s">
        <x:v>21</x:v>
      </x:c>
      <x:c r="F16" t="str">
        <x:v>Spain</x:v>
      </x:c>
      <x:c r="G16" s="6"/>
      <x:c r="H16" s="6"/>
      <x:c r="I16" t="s">
        <x:v>67</x:v>
      </x:c>
      <x:c r="J16" s="2" t="s">
        <x:v>24</x:v>
      </x:c>
      <x:c r="K16" s="6"/>
      <x:c r="L16" s="6"/>
      <x:c r="M16" s="3" t="str">
        <x:f t="shared" si="0"/>
      </x:c>
      <x:c r="N16" s="3" t="str">
        <x:f t="shared" si="1"/>
      </x:c>
      <x:c r="O16" s="2" t="s">
        <x:v>25</x:v>
      </x:c>
      <x:c r="P16" s="2" t="str">
        <x:v>Grupo H definido em 2026-06-26</x:v>
      </x:c>
    </x:row>
    <x:row r="17">
      <x:c r="A17" t="s">
        <x:v>18</x:v>
      </x:c>
      <x:c r="B17">
        <x:v>85</x:v>
      </x:c>
      <x:c r="C17" s="4" t="s">
        <x:v>68</x:v>
      </x:c>
      <x:c r="D17" s="5" t="s">
        <x:v>69</x:v>
      </x:c>
      <x:c r="E17" t="s">
        <x:v>70</x:v>
      </x:c>
      <x:c r="F17" t="s">
        <x:v>71</x:v>
      </x:c>
      <x:c r="G17" s="6"/>
      <x:c r="H17" s="6"/>
      <x:c r="I17" t="s">
        <x:v>72</x:v>
      </x:c>
      <x:c r="J17" s="2" t="s">
        <x:v>24</x:v>
      </x:c>
      <x:c r="K17" s="6"/>
      <x:c r="L17" s="6"/>
      <x:c r="M17" s="3" t="str">
        <x:f t="shared" si="0"/>
      </x:c>
      <x:c r="N17" s="3" t="str">
        <x:f t="shared" si="1"/>
      </x:c>
      <x:c r="O17" s="2" t="s">
        <x:v>25</x:v>
      </x:c>
      <x:c r="P17" s="2" t="str">
        <x:v>Melhor terceiro ainda depende dos jogos de 2026-06-27</x:v>
      </x:c>
    </x:row>
    <x:row r="18">
      <x:c r="A18" t="s">
        <x:v>18</x:v>
      </x:c>
      <x:c r="B18">
        <x:v>86</x:v>
      </x:c>
      <x:c r="C18" s="4" t="s">
        <x:v>68</x:v>
      </x:c>
      <x:c r="D18" s="5" t="s">
        <x:v>73</x:v>
      </x:c>
      <x:c r="E18" t="s">
        <x:v>74</x:v>
      </x:c>
      <x:c r="F18" t="s">
        <x:v>75</x:v>
      </x:c>
      <x:c r="G18" s="6"/>
      <x:c r="H18" s="6"/>
      <x:c r="I18" t="str">
        <x:v>Cape Verde</x:v>
      </x:c>
      <x:c r="J18" s="2" t="s">
        <x:v>24</x:v>
      </x:c>
      <x:c r="K18" s="6"/>
      <x:c r="L18" s="6"/>
      <x:c r="M18" s="3" t="str">
        <x:f t="shared" si="0"/>
      </x:c>
      <x:c r="N18" s="3" t="str">
        <x:f t="shared" si="1"/>
      </x:c>
      <x:c r="O18" s="2" t="s">
        <x:v>25</x:v>
      </x:c>
      <x:c r="P18" s="2" t="str">
        <x:v>Grupo H definido em 2026-06-26</x:v>
      </x:c>
    </x:row>
    <x:row r="19">
      <x:c r="A19" t="s">
        <x:v>18</x:v>
      </x:c>
      <x:c r="B19">
        <x:v>87</x:v>
      </x:c>
      <x:c r="C19" s="4" t="s">
        <x:v>68</x:v>
      </x:c>
      <x:c r="D19" s="5" t="s">
        <x:v>76</x:v>
      </x:c>
      <x:c r="E19" t="s">
        <x:v>77</x:v>
      </x:c>
      <x:c r="F19" t="s">
        <x:v>78</x:v>
      </x:c>
      <x:c r="G19" s="6"/>
      <x:c r="H19" s="6"/>
      <x:c r="I19" t="s">
        <x:v>79</x:v>
      </x:c>
      <x:c r="J19" s="2" t="s">
        <x:v>24</x:v>
      </x:c>
      <x:c r="K19" s="6"/>
      <x:c r="L19" s="6"/>
      <x:c r="M19" s="3" t="str">
        <x:f t="shared" si="0"/>
      </x:c>
      <x:c r="N19" s="3" t="str">
        <x:f t="shared" si="1"/>
      </x:c>
      <x:c r="O19" s="2" t="s">
        <x:v>25</x:v>
      </x:c>
      <x:c r="P19" s="2" t="str">
        <x:v>A definir após jogos de 2026-06-27</x:v>
      </x:c>
    </x:row>
    <x:row r="20">
      <x:c r="A20" t="s">
        <x:v>18</x:v>
      </x:c>
      <x:c r="B20">
        <x:v>88</x:v>
      </x:c>
      <x:c r="C20" s="4" t="s">
        <x:v>68</x:v>
      </x:c>
      <x:c r="D20" s="5" t="s">
        <x:v>80</x:v>
      </x:c>
      <x:c r="E20" t="s">
        <x:v>44</x:v>
      </x:c>
      <x:c r="F20" t="s">
        <x:v>81</x:v>
      </x:c>
      <x:c r="G20" s="6"/>
      <x:c r="H20" s="6"/>
      <x:c r="I20" t="str">
        <x:v>Egypt</x:v>
      </x:c>
      <x:c r="J20" s="2" t="s">
        <x:v>24</x:v>
      </x:c>
      <x:c r="K20" s="6"/>
      <x:c r="L20" s="6"/>
      <x:c r="M20" s="3" t="str">
        <x:f t="shared" si="0"/>
      </x:c>
      <x:c r="N20" s="3" t="str">
        <x:f t="shared" si="1"/>
      </x:c>
      <x:c r="O20" s="2" t="s">
        <x:v>25</x:v>
      </x:c>
      <x:c r="P20" s="2" t="str">
        <x:v>Grupo G definido antes de 2026-06-27</x:v>
      </x:c>
    </x:row>
    <x:row r="21">
      <x:c r="A21" t="s">
        <x:v>82</x:v>
      </x:c>
      <x:c r="B21">
        <x:v>89</x:v>
      </x:c>
      <x:c r="C21" s="4" t="s">
        <x:v>83</x:v>
      </x:c>
      <x:c r="D21" s="5" t="s">
        <x:v>40</x:v>
      </x:c>
      <x:c r="E21" t="s">
        <x:v>84</x:v>
      </x:c>
      <x:c r="F21" t="str">
        <x:f>IF($M6&lt;&gt;"",$M6,"Vencedor jogo 74")</x:f>
        <x:v>Vencedor jogo 74</x:v>
      </x:c>
      <x:c r="G21" s="6"/>
      <x:c r="H21" s="6"/>
      <x:c r="I21" t="str">
        <x:f>IF($M9&lt;&gt;"",$M9,"Vencedor jogo 77")</x:f>
        <x:v>Vencedor jogo 77</x:v>
      </x:c>
      <x:c r="J21" s="2" t="s">
        <x:v>24</x:v>
      </x:c>
      <x:c r="K21" s="6"/>
      <x:c r="L21" s="6"/>
      <x:c r="M21" s="3" t="str">
        <x:f t="shared" si="0"/>
      </x:c>
      <x:c r="N21" s="3" t="str">
        <x:f t="shared" si="1"/>
      </x:c>
      <x:c r="O21" s="2" t="s">
        <x:v>25</x:v>
      </x:c>
      <x:c r="P21" s="2"/>
    </x:row>
    <x:row r="22">
      <x:c r="A22" t="s">
        <x:v>82</x:v>
      </x:c>
      <x:c r="B22">
        <x:v>90</x:v>
      </x:c>
      <x:c r="C22" s="4" t="s">
        <x:v>83</x:v>
      </x:c>
      <x:c r="D22" s="5" t="s">
        <x:v>35</x:v>
      </x:c>
      <x:c r="E22" t="s">
        <x:v>36</x:v>
      </x:c>
      <x:c r="F22" t="str">
        <x:f>IF($M5&lt;&gt;"",$M5,"Vencedor jogo 73")</x:f>
        <x:v>Vencedor jogo 73</x:v>
      </x:c>
      <x:c r="G22" s="6"/>
      <x:c r="H22" s="6"/>
      <x:c r="I22" t="str">
        <x:f>IF($M7&lt;&gt;"",$M7,"Vencedor jogo 75")</x:f>
        <x:v>Vencedor jogo 75</x:v>
      </x:c>
      <x:c r="J22" s="2" t="s">
        <x:v>24</x:v>
      </x:c>
      <x:c r="K22" s="6"/>
      <x:c r="L22" s="6"/>
      <x:c r="M22" s="3" t="str">
        <x:f t="shared" si="0"/>
      </x:c>
      <x:c r="N22" s="3" t="str">
        <x:f t="shared" si="1"/>
      </x:c>
      <x:c r="O22" s="2" t="s">
        <x:v>25</x:v>
      </x:c>
      <x:c r="P22" s="2"/>
    </x:row>
    <x:row r="23">
      <x:c r="A23" t="s">
        <x:v>82</x:v>
      </x:c>
      <x:c r="B23">
        <x:v>91</x:v>
      </x:c>
      <x:c r="C23" s="4" t="s">
        <x:v>85</x:v>
      </x:c>
      <x:c r="D23" s="5" t="s">
        <x:v>59</x:v>
      </x:c>
      <x:c r="E23" t="s">
        <x:v>41</x:v>
      </x:c>
      <x:c r="F23" t="str">
        <x:f>IF($M8&lt;&gt;"",$M8,"Vencedor jogo 76")</x:f>
        <x:v>Vencedor jogo 76</x:v>
      </x:c>
      <x:c r="G23" s="6"/>
      <x:c r="H23" s="6"/>
      <x:c r="I23" t="str">
        <x:f>IF($M10&lt;&gt;"",$M10,"Vencedor jogo 78")</x:f>
        <x:v>Vencedor jogo 78</x:v>
      </x:c>
      <x:c r="J23" s="2" t="s">
        <x:v>24</x:v>
      </x:c>
      <x:c r="K23" s="6"/>
      <x:c r="L23" s="6"/>
      <x:c r="M23" s="3" t="str">
        <x:f t="shared" si="0"/>
      </x:c>
      <x:c r="N23" s="3" t="str">
        <x:f t="shared" si="1"/>
      </x:c>
      <x:c r="O23" s="2" t="s">
        <x:v>25</x:v>
      </x:c>
      <x:c r="P23" s="2"/>
    </x:row>
    <x:row r="24">
      <x:c r="A24" t="s">
        <x:v>82</x:v>
      </x:c>
      <x:c r="B24">
        <x:v>92</x:v>
      </x:c>
      <x:c r="C24" s="4" t="s">
        <x:v>85</x:v>
      </x:c>
      <x:c r="D24" s="5" t="s">
        <x:v>55</x:v>
      </x:c>
      <x:c r="E24" t="s">
        <x:v>47</x:v>
      </x:c>
      <x:c r="F24" t="str">
        <x:f>IF($M11&lt;&gt;"",$M11,"Vencedor jogo 79")</x:f>
        <x:v>Vencedor jogo 79</x:v>
      </x:c>
      <x:c r="G24" s="6"/>
      <x:c r="H24" s="6"/>
      <x:c r="I24" t="str">
        <x:f>IF($M12&lt;&gt;"",$M12,"Vencedor jogo 80")</x:f>
        <x:v>Vencedor jogo 80</x:v>
      </x:c>
      <x:c r="J24" s="2" t="s">
        <x:v>24</x:v>
      </x:c>
      <x:c r="K24" s="6"/>
      <x:c r="L24" s="6"/>
      <x:c r="M24" s="3" t="str">
        <x:f t="shared" si="0"/>
      </x:c>
      <x:c r="N24" s="3" t="str">
        <x:f t="shared" si="1"/>
      </x:c>
      <x:c r="O24" s="2" t="s">
        <x:v>25</x:v>
      </x:c>
      <x:c r="P24" s="2"/>
    </x:row>
    <x:row r="25">
      <x:c r="A25" t="s">
        <x:v>82</x:v>
      </x:c>
      <x:c r="B25">
        <x:v>93</x:v>
      </x:c>
      <x:c r="C25" s="4" t="s">
        <x:v>86</x:v>
      </x:c>
      <x:c r="D25" s="5" t="s">
        <x:v>20</x:v>
      </x:c>
      <x:c r="E25" t="s">
        <x:v>44</x:v>
      </x:c>
      <x:c r="F25" t="str">
        <x:f>IF($M15&lt;&gt;"",$M15,"Vencedor jogo 83")</x:f>
        <x:v>Vencedor jogo 83</x:v>
      </x:c>
      <x:c r="G25" s="6"/>
      <x:c r="H25" s="6"/>
      <x:c r="I25" t="str">
        <x:f>IF($M16&lt;&gt;"",$M16,"Vencedor jogo 84")</x:f>
        <x:v>Vencedor jogo 84</x:v>
      </x:c>
      <x:c r="J25" s="2" t="s">
        <x:v>24</x:v>
      </x:c>
      <x:c r="K25" s="6"/>
      <x:c r="L25" s="6"/>
      <x:c r="M25" s="3" t="str">
        <x:f t="shared" si="0"/>
      </x:c>
      <x:c r="N25" s="3" t="str">
        <x:f t="shared" si="1"/>
      </x:c>
      <x:c r="O25" s="2" t="s">
        <x:v>25</x:v>
      </x:c>
      <x:c r="P25" s="2"/>
    </x:row>
    <x:row r="26">
      <x:c r="A26" t="s">
        <x:v>82</x:v>
      </x:c>
      <x:c r="B26">
        <x:v>94</x:v>
      </x:c>
      <x:c r="C26" s="4" t="s">
        <x:v>86</x:v>
      </x:c>
      <x:c r="D26" s="5" t="s">
        <x:v>55</x:v>
      </x:c>
      <x:c r="E26" t="s">
        <x:v>60</x:v>
      </x:c>
      <x:c r="F26" t="str">
        <x:f>IF($M13&lt;&gt;"",$M13,"Vencedor jogo 81")</x:f>
        <x:v>Vencedor jogo 81</x:v>
      </x:c>
      <x:c r="G26" s="6"/>
      <x:c r="H26" s="6"/>
      <x:c r="I26" t="str">
        <x:f>IF($M14&lt;&gt;"",$M14,"Vencedor jogo 82")</x:f>
        <x:v>Vencedor jogo 82</x:v>
      </x:c>
      <x:c r="J26" s="2" t="s">
        <x:v>24</x:v>
      </x:c>
      <x:c r="K26" s="6"/>
      <x:c r="L26" s="6"/>
      <x:c r="M26" s="3" t="str">
        <x:f t="shared" si="0"/>
      </x:c>
      <x:c r="N26" s="3" t="str">
        <x:f t="shared" si="1"/>
      </x:c>
      <x:c r="O26" s="2" t="s">
        <x:v>25</x:v>
      </x:c>
      <x:c r="P26" s="2"/>
    </x:row>
    <x:row r="27">
      <x:c r="A27" t="s">
        <x:v>82</x:v>
      </x:c>
      <x:c r="B27">
        <x:v>95</x:v>
      </x:c>
      <x:c r="C27" s="4" t="s">
        <x:v>87</x:v>
      </x:c>
      <x:c r="D27" s="5" t="s">
        <x:v>51</x:v>
      </x:c>
      <x:c r="E27" t="s">
        <x:v>52</x:v>
      </x:c>
      <x:c r="F27" t="str">
        <x:f>IF($M18&lt;&gt;"",$M18,"Vencedor jogo 86")</x:f>
        <x:v>Vencedor jogo 86</x:v>
      </x:c>
      <x:c r="G27" s="6"/>
      <x:c r="H27" s="6"/>
      <x:c r="I27" t="str">
        <x:f>IF($M20&lt;&gt;"",$M20,"Vencedor jogo 88")</x:f>
        <x:v>Vencedor jogo 88</x:v>
      </x:c>
      <x:c r="J27" s="2" t="s">
        <x:v>24</x:v>
      </x:c>
      <x:c r="K27" s="6"/>
      <x:c r="L27" s="6"/>
      <x:c r="M27" s="3" t="str">
        <x:f t="shared" si="0"/>
      </x:c>
      <x:c r="N27" s="3" t="str">
        <x:f t="shared" si="1"/>
      </x:c>
      <x:c r="O27" s="2" t="s">
        <x:v>25</x:v>
      </x:c>
      <x:c r="P27" s="2"/>
    </x:row>
    <x:row r="28">
      <x:c r="A28" t="s">
        <x:v>82</x:v>
      </x:c>
      <x:c r="B28">
        <x:v>96</x:v>
      </x:c>
      <x:c r="C28" s="4" t="s">
        <x:v>87</x:v>
      </x:c>
      <x:c r="D28" s="5" t="s">
        <x:v>59</x:v>
      </x:c>
      <x:c r="E28" t="s">
        <x:v>70</x:v>
      </x:c>
      <x:c r="F28" t="str">
        <x:f>IF($M17&lt;&gt;"",$M17,"Vencedor jogo 85")</x:f>
        <x:v>Vencedor jogo 85</x:v>
      </x:c>
      <x:c r="G28" s="6"/>
      <x:c r="H28" s="6"/>
      <x:c r="I28" t="str">
        <x:f>IF($M19&lt;&gt;"",$M19,"Vencedor jogo 87")</x:f>
        <x:v>Vencedor jogo 87</x:v>
      </x:c>
      <x:c r="J28" s="2" t="s">
        <x:v>24</x:v>
      </x:c>
      <x:c r="K28" s="6"/>
      <x:c r="L28" s="6"/>
      <x:c r="M28" s="3" t="str">
        <x:f t="shared" si="0"/>
      </x:c>
      <x:c r="N28" s="3" t="str">
        <x:f t="shared" si="1"/>
      </x:c>
      <x:c r="O28" s="2" t="s">
        <x:v>25</x:v>
      </x:c>
      <x:c r="P28" s="2"/>
    </x:row>
    <x:row r="29">
      <x:c r="A29" t="s">
        <x:v>88</x:v>
      </x:c>
      <x:c r="B29">
        <x:v>97</x:v>
      </x:c>
      <x:c r="C29" s="4" t="s">
        <x:v>89</x:v>
      </x:c>
      <x:c r="D29" s="5" t="s">
        <x:v>59</x:v>
      </x:c>
      <x:c r="E29" t="s">
        <x:v>28</x:v>
      </x:c>
      <x:c r="F29" t="str">
        <x:f>IF($M21&lt;&gt;"",$M21,"Vencedor jogo 89")</x:f>
        <x:v>Vencedor jogo 89</x:v>
      </x:c>
      <x:c r="G29" s="6"/>
      <x:c r="H29" s="6"/>
      <x:c r="I29" t="str">
        <x:f>IF($M22&lt;&gt;"",$M22,"Vencedor jogo 90")</x:f>
        <x:v>Vencedor jogo 90</x:v>
      </x:c>
      <x:c r="J29" s="2" t="s">
        <x:v>24</x:v>
      </x:c>
      <x:c r="K29" s="6"/>
      <x:c r="L29" s="6"/>
      <x:c r="M29" s="3" t="str">
        <x:f t="shared" si="0"/>
      </x:c>
      <x:c r="N29" s="3" t="str">
        <x:f t="shared" si="1"/>
      </x:c>
      <x:c r="O29" s="2" t="s">
        <x:v>25</x:v>
      </x:c>
      <x:c r="P29" s="2"/>
    </x:row>
    <x:row r="30">
      <x:c r="A30" t="s">
        <x:v>88</x:v>
      </x:c>
      <x:c r="B30">
        <x:v>98</x:v>
      </x:c>
      <x:c r="C30" s="4" t="s">
        <x:v>90</x:v>
      </x:c>
      <x:c r="D30" s="5" t="s">
        <x:v>20</x:v>
      </x:c>
      <x:c r="E30" t="s">
        <x:v>21</x:v>
      </x:c>
      <x:c r="F30" t="str">
        <x:f>IF($M25&lt;&gt;"",$M25,"Vencedor jogo 93")</x:f>
        <x:v>Vencedor jogo 93</x:v>
      </x:c>
      <x:c r="G30" s="6"/>
      <x:c r="H30" s="6"/>
      <x:c r="I30" t="str">
        <x:f>IF($M26&lt;&gt;"",$M26,"Vencedor jogo 94")</x:f>
        <x:v>Vencedor jogo 94</x:v>
      </x:c>
      <x:c r="J30" s="2" t="s">
        <x:v>24</x:v>
      </x:c>
      <x:c r="K30" s="6"/>
      <x:c r="L30" s="6"/>
      <x:c r="M30" s="3" t="str">
        <x:f t="shared" si="0"/>
      </x:c>
      <x:c r="N30" s="3" t="str">
        <x:f t="shared" si="1"/>
      </x:c>
      <x:c r="O30" s="2" t="s">
        <x:v>25</x:v>
      </x:c>
      <x:c r="P30" s="2"/>
    </x:row>
    <x:row r="31">
      <x:c r="A31" t="s">
        <x:v>88</x:v>
      </x:c>
      <x:c r="B31">
        <x:v>99</x:v>
      </x:c>
      <x:c r="C31" s="4" t="s">
        <x:v>91</x:v>
      </x:c>
      <x:c r="D31" s="5" t="s">
        <x:v>40</x:v>
      </x:c>
      <x:c r="E31" t="s">
        <x:v>74</x:v>
      </x:c>
      <x:c r="F31" t="str">
        <x:f>IF($M23&lt;&gt;"",$M23,"Vencedor jogo 91")</x:f>
        <x:v>Vencedor jogo 91</x:v>
      </x:c>
      <x:c r="G31" s="6"/>
      <x:c r="H31" s="6"/>
      <x:c r="I31" t="str">
        <x:f>IF($M24&lt;&gt;"",$M24,"Vencedor jogo 92")</x:f>
        <x:v>Vencedor jogo 92</x:v>
      </x:c>
      <x:c r="J31" s="2" t="s">
        <x:v>24</x:v>
      </x:c>
      <x:c r="K31" s="6"/>
      <x:c r="L31" s="6"/>
      <x:c r="M31" s="3" t="str">
        <x:f t="shared" si="0"/>
      </x:c>
      <x:c r="N31" s="3" t="str">
        <x:f t="shared" si="1"/>
      </x:c>
      <x:c r="O31" s="2" t="s">
        <x:v>25</x:v>
      </x:c>
      <x:c r="P31" s="2"/>
    </x:row>
    <x:row r="32">
      <x:c r="A32" t="s">
        <x:v>88</x:v>
      </x:c>
      <x:c r="B32">
        <x:v>100</x:v>
      </x:c>
      <x:c r="C32" s="4" t="s">
        <x:v>91</x:v>
      </x:c>
      <x:c r="D32" s="5" t="s">
        <x:v>31</x:v>
      </x:c>
      <x:c r="E32" t="s">
        <x:v>77</x:v>
      </x:c>
      <x:c r="F32" t="str">
        <x:f>IF($M27&lt;&gt;"",$M27,"Vencedor jogo 95")</x:f>
        <x:v>Vencedor jogo 95</x:v>
      </x:c>
      <x:c r="G32" s="6"/>
      <x:c r="H32" s="6"/>
      <x:c r="I32" t="str">
        <x:f>IF($M28&lt;&gt;"",$M28,"Vencedor jogo 96")</x:f>
        <x:v>Vencedor jogo 96</x:v>
      </x:c>
      <x:c r="J32" s="2" t="s">
        <x:v>24</x:v>
      </x:c>
      <x:c r="K32" s="6"/>
      <x:c r="L32" s="6"/>
      <x:c r="M32" s="3" t="str">
        <x:f t="shared" si="0"/>
      </x:c>
      <x:c r="N32" s="3" t="str">
        <x:f t="shared" si="1"/>
      </x:c>
      <x:c r="O32" s="2" t="s">
        <x:v>25</x:v>
      </x:c>
      <x:c r="P32" s="2"/>
    </x:row>
    <x:row r="33">
      <x:c r="A33" t="s">
        <x:v>92</x:v>
      </x:c>
      <x:c r="B33">
        <x:v>101</x:v>
      </x:c>
      <x:c r="C33" s="4" t="s">
        <x:v>93</x:v>
      </x:c>
      <x:c r="D33" s="5" t="s">
        <x:v>20</x:v>
      </x:c>
      <x:c r="E33" t="s">
        <x:v>44</x:v>
      </x:c>
      <x:c r="F33" t="str">
        <x:f>IF($M29&lt;&gt;"",$M29,"Vencedor jogo 97")</x:f>
        <x:v>Vencedor jogo 97</x:v>
      </x:c>
      <x:c r="G33" s="6"/>
      <x:c r="H33" s="6"/>
      <x:c r="I33" t="str">
        <x:f>IF($M30&lt;&gt;"",$M30,"Vencedor jogo 98")</x:f>
        <x:v>Vencedor jogo 98</x:v>
      </x:c>
      <x:c r="J33" s="2" t="s">
        <x:v>24</x:v>
      </x:c>
      <x:c r="K33" s="6"/>
      <x:c r="L33" s="6"/>
      <x:c r="M33" s="3" t="str">
        <x:f t="shared" si="0"/>
      </x:c>
      <x:c r="N33" s="3" t="str">
        <x:f t="shared" si="1"/>
      </x:c>
      <x:c r="O33" s="2" t="s">
        <x:v>25</x:v>
      </x:c>
      <x:c r="P33" s="2"/>
    </x:row>
    <x:row r="34">
      <x:c r="A34" t="s">
        <x:v>92</x:v>
      </x:c>
      <x:c r="B34">
        <x:v>102</x:v>
      </x:c>
      <x:c r="C34" s="4" t="s">
        <x:v>94</x:v>
      </x:c>
      <x:c r="D34" s="5" t="s">
        <x:v>20</x:v>
      </x:c>
      <x:c r="E34" t="s">
        <x:v>52</x:v>
      </x:c>
      <x:c r="F34" t="str">
        <x:f>IF($M31&lt;&gt;"",$M31,"Vencedor jogo 99")</x:f>
        <x:v>Vencedor jogo 99</x:v>
      </x:c>
      <x:c r="G34" s="6"/>
      <x:c r="H34" s="6"/>
      <x:c r="I34" t="str">
        <x:f>IF($M32&lt;&gt;"",$M32,"Vencedor jogo 100")</x:f>
        <x:v>Vencedor jogo 100</x:v>
      </x:c>
      <x:c r="J34" s="2" t="s">
        <x:v>24</x:v>
      </x:c>
      <x:c r="K34" s="6"/>
      <x:c r="L34" s="6"/>
      <x:c r="M34" s="3" t="str">
        <x:f t="shared" si="0"/>
      </x:c>
      <x:c r="N34" s="3" t="str">
        <x:f t="shared" si="1"/>
      </x:c>
      <x:c r="O34" s="2" t="s">
        <x:v>25</x:v>
      </x:c>
      <x:c r="P34" s="2"/>
    </x:row>
    <x:row r="35">
      <x:c r="A35" t="s">
        <x:v>95</x:v>
      </x:c>
      <x:c r="B35">
        <x:v>103</x:v>
      </x:c>
      <x:c r="C35" s="4" t="s">
        <x:v>96</x:v>
      </x:c>
      <x:c r="D35" s="5" t="s">
        <x:v>40</x:v>
      </x:c>
      <x:c r="E35" t="s">
        <x:v>74</x:v>
      </x:c>
      <x:c r="F35" t="str">
        <x:f>IF($N33&lt;&gt;"",$N33,"Perdedor jogo 101")</x:f>
        <x:v>Perdedor jogo 101</x:v>
      </x:c>
      <x:c r="G35" s="6"/>
      <x:c r="H35" s="6"/>
      <x:c r="I35" t="str">
        <x:f>IF($N34&lt;&gt;"",$N34,"Perdedor jogo 102")</x:f>
        <x:v>Perdedor jogo 102</x:v>
      </x:c>
      <x:c r="J35" s="2" t="s">
        <x:v>24</x:v>
      </x:c>
      <x:c r="K35" s="6"/>
      <x:c r="L35" s="6"/>
      <x:c r="M35" s="3" t="str">
        <x:f t="shared" si="0"/>
      </x:c>
      <x:c r="N35" s="3" t="str">
        <x:f t="shared" si="1"/>
      </x:c>
      <x:c r="O35" s="2" t="s">
        <x:v>25</x:v>
      </x:c>
      <x:c r="P35" s="2"/>
    </x:row>
    <x:row r="36">
      <x:c r="A36" t="s">
        <x:v>97</x:v>
      </x:c>
      <x:c r="B36">
        <x:v>104</x:v>
      </x:c>
      <x:c r="C36" s="4" t="s">
        <x:v>98</x:v>
      </x:c>
      <x:c r="D36" s="5" t="s">
        <x:v>20</x:v>
      </x:c>
      <x:c r="E36" t="s">
        <x:v>41</x:v>
      </x:c>
      <x:c r="F36" t="str">
        <x:f>IF($M33&lt;&gt;"",$M33,"Vencedor jogo 101")</x:f>
        <x:v>Vencedor jogo 101</x:v>
      </x:c>
      <x:c r="G36" s="6"/>
      <x:c r="H36" s="6"/>
      <x:c r="I36" t="str">
        <x:f>IF($M34&lt;&gt;"",$M34,"Vencedor jogo 102")</x:f>
        <x:v>Vencedor jogo 102</x:v>
      </x:c>
      <x:c r="J36" s="2" t="s">
        <x:v>24</x:v>
      </x:c>
      <x:c r="K36" s="6"/>
      <x:c r="L36" s="6"/>
      <x:c r="M36" s="3" t="str">
        <x:f t="shared" si="0"/>
      </x:c>
      <x:c r="N36" s="3" t="str">
        <x:f t="shared" si="1"/>
      </x:c>
      <x:c r="O36" s="2" t="s">
        <x:v>25</x:v>
      </x:c>
      <x:c r="P36" s="2"/>
    </x:row>
    <x:row r="38" ht="24" customHeight="1">
      <x:c r="A38" s="26" t="str">
        <x:v>CAMPEÃO DA COPA (10% da pontuação total): escreva aqui o campeão escolhido para a segunda fase.</x:v>
      </x:c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8"/>
    </x:row>
    <x:row r="39" ht="30" customHeight="1">
      <x:c r="A39" s="32" t="str">
        <x:v>Campeão escolhido: ______________________________</x:v>
      </x:c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1"/>
    </x:row>
  </x:sheetData>
  <x:mergeCells>
    <x:mergeCell ref="A1:P1"/>
    <x:mergeCell ref="A2:P2"/>
    <x:mergeCell ref="A3:N3"/>
    <x:mergeCell ref="A38:P38"/>
    <x:mergeCell ref="A39:P39"/>
  </x:mergeCells>
  <x:dataValidations count="1">
    <x:dataValidation allowBlank="1" sqref="J5:J36 O5:O36"/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8.83203125" customWidth="1"/>
    <x:col min="2" max="2" width="15.5" customWidth="1"/>
    <x:col min="3" max="3" width="10" customWidth="1"/>
    <x:col min="4" max="4" width="8.33203125" customWidth="1"/>
    <x:col min="5" max="5" width="20" customWidth="1"/>
    <x:col min="6" max="6" width="8.83203125" customWidth="1"/>
    <x:col min="7" max="9" width="20" customWidth="1"/>
    <x:col min="10" max="10" width="21.1640625" customWidth="1"/>
    <x:col min="11" max="11" width="12.1640625" customWidth="1"/>
    <x:col min="13" max="13" width="18.83203125" customWidth="1"/>
    <x:col min="14" max="14" width="13.33203125" customWidth="1"/>
    <x:col min="15" max="15" width="2.1640625" customWidth="1"/>
  </x:cols>
  <x:sheetData>
    <x:row r="1" ht="36" customHeight="1">
      <x:c r="A1" s="9" t="s">
        <x:v>99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M1" s="9" t="s">
        <x:v>100</x:v>
      </x:c>
      <x:c r="N1" s="9"/>
      <x:c r="O1" s="9"/>
    </x:row>
    <x:row r="2" ht="28" customHeight="1">
      <x:c r="A2" s="10" t="s">
        <x:v>101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M3" t="s">
        <x:v>102</x:v>
      </x:c>
      <x:c r="N3">
        <x:v>32</x:v>
      </x:c>
    </x:row>
    <x:row r="4" ht="30" customHeight="1">
      <x:c r="A4" s="1" t="s">
        <x:v>3</x:v>
      </x:c>
      <x:c r="B4" s="1" t="s">
        <x:v>2</x:v>
      </x:c>
      <x:c r="C4" s="1" t="s">
        <x:v>4</x:v>
      </x:c>
      <x:c r="D4" s="1" t="s">
        <x:v>5</x:v>
      </x:c>
      <x:c r="E4" s="1" t="s">
        <x:v>7</x:v>
      </x:c>
      <x:c r="F4" s="1" t="s">
        <x:v>103</x:v>
      </x:c>
      <x:c r="G4" s="1" t="s">
        <x:v>10</x:v>
      </x:c>
      <x:c r="H4" s="1" t="s">
        <x:v>14</x:v>
      </x:c>
      <x:c r="I4" s="1" t="s">
        <x:v>15</x:v>
      </x:c>
      <x:c r="J4" s="1" t="s">
        <x:v>6</x:v>
      </x:c>
      <x:c r="K4" s="1" t="s">
        <x:v>16</x:v>
      </x:c>
      <x:c r="M4" t="s">
        <x:v>104</x:v>
      </x:c>
      <x:c r="N4" t="n">
        <x:f>COUNTIF(Resultados_Playoffs!F5:F36,"&lt;&gt;*jogo*")</x:f>
        <x:v>32</x:v>
      </x:c>
    </x:row>
    <x:row r="5">
      <x:c r="A5" t="n">
        <x:f>Resultados_Playoffs!B5</x:f>
        <x:v>73</x:v>
      </x:c>
      <x:c r="B5" t="str">
        <x:f>Resultados_Playoffs!A5</x:f>
        <x:v>16 avos</x:v>
      </x:c>
      <x:c r="C5" s="7" t="str">
        <x:f>Resultados_Playoffs!C5</x:f>
        <x:v>2026-06-28</x:v>
      </x:c>
      <x:c r="D5" s="8" t="str">
        <x:f>Resultados_Playoffs!D5</x:f>
        <x:v>16:00</x:v>
      </x:c>
      <x:c r="E5" t="str">
        <x:f>Resultados_Playoffs!F5</x:f>
        <x:v>South Africa</x:v>
      </x:c>
      <x:c r="F5" t="str">
        <x:f>IF(OR(Resultados_Playoffs!G5="",Resultados_Playoffs!H5=""),"",Resultados_Playoffs!G5&amp;" x "&amp;Resultados_Playoffs!H5)</x:f>
      </x:c>
      <x:c r="G5" t="str">
        <x:f>Resultados_Playoffs!I5</x:f>
        <x:v>Canada</x:v>
      </x:c>
      <x:c r="H5" t="n">
        <x:f>Resultados_Playoffs!M5</x:f>
        <x:v>0</x:v>
      </x:c>
      <x:c r="I5" t="str">
        <x:f>Resultados_Playoffs!N5</x:f>
      </x:c>
      <x:c r="J5" t="str">
        <x:f>Resultados_Playoffs!E5</x:f>
        <x:v>Los Angeles Stadium</x:v>
      </x:c>
      <x:c r="K5" t="str">
        <x:f>Resultados_Playoffs!O5</x:f>
        <x:v>Pendente</x:v>
      </x:c>
      <x:c r="M5" t="s">
        <x:v>105</x:v>
      </x:c>
      <x:c r="N5" t="n">
        <x:f>COUNTIF(Resultados_Playoffs!I5:I36,"&lt;&gt;*jogo*")</x:f>
        <x:v>32</x:v>
      </x:c>
    </x:row>
    <x:row r="6">
      <x:c r="A6" t="n">
        <x:f>Resultados_Playoffs!B6</x:f>
        <x:v>74</x:v>
      </x:c>
      <x:c r="B6" t="str">
        <x:f>Resultados_Playoffs!A6</x:f>
        <x:v>16 avos</x:v>
      </x:c>
      <x:c r="C6" s="7" t="str">
        <x:f>Resultados_Playoffs!C6</x:f>
        <x:v>2026-06-29</x:v>
      </x:c>
      <x:c r="D6" s="8" t="str">
        <x:f>Resultados_Playoffs!D6</x:f>
        <x:v>17:30</x:v>
      </x:c>
      <x:c r="E6" t="str">
        <x:f>Resultados_Playoffs!F6</x:f>
        <x:v>Germany</x:v>
      </x:c>
      <x:c r="F6" t="str">
        <x:f>IF(OR(Resultados_Playoffs!G6="",Resultados_Playoffs!H6=""),"",Resultados_Playoffs!G6&amp;" x "&amp;Resultados_Playoffs!H6)</x:f>
      </x:c>
      <x:c r="G6" t="str">
        <x:f>Resultados_Playoffs!I6</x:f>
        <x:v>3º Grupo A/B/C/D/F</x:v>
      </x:c>
      <x:c r="H6" t="n">
        <x:f>Resultados_Playoffs!M6</x:f>
        <x:v>0</x:v>
      </x:c>
      <x:c r="I6" t="n">
        <x:f>Resultados_Playoffs!N6</x:f>
        <x:v>0</x:v>
      </x:c>
      <x:c r="J6" t="str">
        <x:f>Resultados_Playoffs!E6</x:f>
        <x:v>Boston Stadium</x:v>
      </x:c>
      <x:c r="K6" t="str">
        <x:f>Resultados_Playoffs!O6</x:f>
        <x:v>Pendente</x:v>
      </x:c>
      <x:c r="M6" t="s">
        <x:v>106</x:v>
      </x:c>
      <x:c r="N6" t="n">
        <x:f>COUNTIF(Resultados_Playoffs!O5:O36,"Finalizado")</x:f>
        <x:v>0</x:v>
      </x:c>
    </x:row>
    <x:row r="7">
      <x:c r="A7" t="n">
        <x:f>Resultados_Playoffs!B7</x:f>
        <x:v>75</x:v>
      </x:c>
      <x:c r="B7" t="str">
        <x:f>Resultados_Playoffs!A7</x:f>
        <x:v>16 avos</x:v>
      </x:c>
      <x:c r="C7" s="7" t="str">
        <x:f>Resultados_Playoffs!C7</x:f>
        <x:v>2026-06-29</x:v>
      </x:c>
      <x:c r="D7" s="8" t="str">
        <x:f>Resultados_Playoffs!D7</x:f>
        <x:v>22:00</x:v>
      </x:c>
      <x:c r="E7" t="str">
        <x:f>Resultados_Playoffs!F7</x:f>
        <x:v>Netherlands</x:v>
      </x:c>
      <x:c r="F7" t="str">
        <x:f>IF(OR(Resultados_Playoffs!G7="",Resultados_Playoffs!H7=""),"",Resultados_Playoffs!G7&amp;" x "&amp;Resultados_Playoffs!H7)</x:f>
      </x:c>
      <x:c r="G7" t="str">
        <x:f>Resultados_Playoffs!I7</x:f>
        <x:v>Morocco</x:v>
      </x:c>
      <x:c r="H7" t="n">
        <x:f>Resultados_Playoffs!M7</x:f>
        <x:v>0</x:v>
      </x:c>
      <x:c r="I7" t="n">
        <x:f>Resultados_Playoffs!N7</x:f>
        <x:v>0</x:v>
      </x:c>
      <x:c r="J7" t="str">
        <x:f>Resultados_Playoffs!E7</x:f>
        <x:v>Monterrey Stadium</x:v>
      </x:c>
      <x:c r="K7" t="str">
        <x:f>Resultados_Playoffs!O7</x:f>
        <x:v>Pendente</x:v>
      </x:c>
      <x:c r="M7" t="s">
        <x:v>107</x:v>
      </x:c>
      <x:c r="N7" t="n">
        <x:f>COUNTIF(Resultados_Playoffs!O5:O36,"Pendente")</x:f>
        <x:v>32</x:v>
      </x:c>
    </x:row>
    <x:row r="8">
      <x:c r="A8" t="n">
        <x:f>Resultados_Playoffs!B8</x:f>
        <x:v>76</x:v>
      </x:c>
      <x:c r="B8" t="str">
        <x:f>Resultados_Playoffs!A8</x:f>
        <x:v>16 avos</x:v>
      </x:c>
      <x:c r="C8" s="7" t="str">
        <x:f>Resultados_Playoffs!C8</x:f>
        <x:v>2026-06-29</x:v>
      </x:c>
      <x:c r="D8" s="8" t="str">
        <x:f>Resultados_Playoffs!D8</x:f>
        <x:v>14:00</x:v>
      </x:c>
      <x:c r="E8" t="str">
        <x:f>Resultados_Playoffs!F8</x:f>
        <x:v>Brazil</x:v>
      </x:c>
      <x:c r="F8" t="str">
        <x:f>IF(OR(Resultados_Playoffs!G8="",Resultados_Playoffs!H8=""),"",Resultados_Playoffs!G8&amp;" x "&amp;Resultados_Playoffs!H8)</x:f>
      </x:c>
      <x:c r="G8" t="str">
        <x:f>Resultados_Playoffs!I8</x:f>
        <x:v>Japan</x:v>
      </x:c>
      <x:c r="H8" t="n">
        <x:f>Resultados_Playoffs!M8</x:f>
        <x:v>0</x:v>
      </x:c>
      <x:c r="I8" t="n">
        <x:f>Resultados_Playoffs!N8</x:f>
        <x:v>0</x:v>
      </x:c>
      <x:c r="J8" t="str">
        <x:f>Resultados_Playoffs!E8</x:f>
        <x:v>Houston Stadium</x:v>
      </x:c>
      <x:c r="K8" t="str">
        <x:f>Resultados_Playoffs!O8</x:f>
        <x:v>Pendente</x:v>
      </x:c>
      <x:c r="M8" t="s">
        <x:v>108</x:v>
      </x:c>
      <x:c r="N8" t="n">
        <x:f>COUNTIF(Resultados_Playoffs!M5:M36,"Definir pênaltis")</x:f>
        <x:v>0</x:v>
      </x:c>
    </x:row>
    <x:row r="9">
      <x:c r="A9" t="n">
        <x:f>Resultados_Playoffs!B9</x:f>
        <x:v>77</x:v>
      </x:c>
      <x:c r="B9" t="str">
        <x:f>Resultados_Playoffs!A9</x:f>
        <x:v>16 avos</x:v>
      </x:c>
      <x:c r="C9" s="7" t="str">
        <x:f>Resultados_Playoffs!C9</x:f>
        <x:v>2026-06-30</x:v>
      </x:c>
      <x:c r="D9" s="8" t="str">
        <x:f>Resultados_Playoffs!D9</x:f>
        <x:v>18:00</x:v>
      </x:c>
      <x:c r="E9" t="str">
        <x:f>Resultados_Playoffs!F9</x:f>
        <x:v>France</x:v>
      </x:c>
      <x:c r="F9" t="str">
        <x:f>IF(OR(Resultados_Playoffs!G9="",Resultados_Playoffs!H9=""),"",Resultados_Playoffs!G9&amp;" x "&amp;Resultados_Playoffs!H9)</x:f>
      </x:c>
      <x:c r="G9" t="str">
        <x:f>Resultados_Playoffs!I9</x:f>
        <x:v>3º Grupo C/D/F/G/H</x:v>
      </x:c>
      <x:c r="H9" t="n">
        <x:f>Resultados_Playoffs!M9</x:f>
        <x:v>0</x:v>
      </x:c>
      <x:c r="I9" t="n">
        <x:f>Resultados_Playoffs!N9</x:f>
        <x:v>0</x:v>
      </x:c>
      <x:c r="J9" t="str">
        <x:f>Resultados_Playoffs!E9</x:f>
        <x:v>New York/New Jersey Stadium</x:v>
      </x:c>
      <x:c r="K9" t="str">
        <x:f>Resultados_Playoffs!O9</x:f>
        <x:v>Pendente</x:v>
      </x:c>
      <x:c r="M9" t="s">
        <x:v>109</x:v>
      </x:c>
      <x:c r="N9" t="s">
        <x:v>110</x:v>
      </x:c>
    </x:row>
    <x:row r="10">
      <x:c r="A10" t="n">
        <x:f>Resultados_Playoffs!B10</x:f>
        <x:v>78</x:v>
      </x:c>
      <x:c r="B10" t="str">
        <x:f>Resultados_Playoffs!A10</x:f>
        <x:v>16 avos</x:v>
      </x:c>
      <x:c r="C10" s="7" t="str">
        <x:f>Resultados_Playoffs!C10</x:f>
        <x:v>2026-06-30</x:v>
      </x:c>
      <x:c r="D10" s="8" t="str">
        <x:f>Resultados_Playoffs!D10</x:f>
        <x:v>14:00</x:v>
      </x:c>
      <x:c r="E10" t="str">
        <x:f>Resultados_Playoffs!F10</x:f>
        <x:v>Côte d'Ivoire</x:v>
      </x:c>
      <x:c r="F10" t="str">
        <x:f>IF(OR(Resultados_Playoffs!G10="",Resultados_Playoffs!H10=""),"",Resultados_Playoffs!G10&amp;" x "&amp;Resultados_Playoffs!H10)</x:f>
      </x:c>
      <x:c r="G10" t="str">
        <x:f>Resultados_Playoffs!I10</x:f>
        <x:v>Norway</x:v>
      </x:c>
      <x:c r="H10" t="n">
        <x:f>Resultados_Playoffs!M10</x:f>
        <x:v>0</x:v>
      </x:c>
      <x:c r="I10" t="n">
        <x:f>Resultados_Playoffs!N10</x:f>
        <x:v>0</x:v>
      </x:c>
      <x:c r="J10" t="str">
        <x:f>Resultados_Playoffs!E10</x:f>
        <x:v>Dallas Stadium</x:v>
      </x:c>
      <x:c r="K10" t="str">
        <x:f>Resultados_Playoffs!O10</x:f>
        <x:v>Pendente</x:v>
      </x:c>
      <x:c r="M10" t="s">
        <x:v>97</x:v>
      </x:c>
      <x:c r="N10" t="s">
        <x:v>111</x:v>
      </x:c>
    </x:row>
    <x:row r="11">
      <x:c r="A11" t="n">
        <x:f>Resultados_Playoffs!B11</x:f>
        <x:v>79</x:v>
      </x:c>
      <x:c r="B11" t="str">
        <x:f>Resultados_Playoffs!A11</x:f>
        <x:v>16 avos</x:v>
      </x:c>
      <x:c r="C11" s="7" t="str">
        <x:f>Resultados_Playoffs!C11</x:f>
        <x:v>2026-06-30</x:v>
      </x:c>
      <x:c r="D11" s="8" t="str">
        <x:f>Resultados_Playoffs!D11</x:f>
        <x:v>22:00</x:v>
      </x:c>
      <x:c r="E11" t="str">
        <x:f>Resultados_Playoffs!F11</x:f>
        <x:v>Mexico</x:v>
      </x:c>
      <x:c r="F11" t="str">
        <x:f>IF(OR(Resultados_Playoffs!G11="",Resultados_Playoffs!H11=""),"",Resultados_Playoffs!G11&amp;" x "&amp;Resultados_Playoffs!H11)</x:f>
      </x:c>
      <x:c r="G11" t="str">
        <x:f>Resultados_Playoffs!I11</x:f>
        <x:v>3º Grupo C/E/F/H/I</x:v>
      </x:c>
      <x:c r="H11" t="n">
        <x:f>Resultados_Playoffs!M11</x:f>
        <x:v>0</x:v>
      </x:c>
      <x:c r="I11" t="n">
        <x:f>Resultados_Playoffs!N11</x:f>
        <x:v>0</x:v>
      </x:c>
      <x:c r="J11" t="str">
        <x:f>Resultados_Playoffs!E11</x:f>
        <x:v>Mexico City Stadium</x:v>
      </x:c>
      <x:c r="K11" t="str">
        <x:f>Resultados_Playoffs!O11</x:f>
        <x:v>Pendente</x:v>
      </x:c>
    </x:row>
    <x:row r="12">
      <x:c r="A12" t="n">
        <x:f>Resultados_Playoffs!B12</x:f>
        <x:v>80</x:v>
      </x:c>
      <x:c r="B12" t="str">
        <x:f>Resultados_Playoffs!A12</x:f>
        <x:v>16 avos</x:v>
      </x:c>
      <x:c r="C12" s="7" t="str">
        <x:f>Resultados_Playoffs!C12</x:f>
        <x:v>2026-07-01</x:v>
      </x:c>
      <x:c r="D12" s="8" t="str">
        <x:f>Resultados_Playoffs!D12</x:f>
        <x:v>13:00</x:v>
      </x:c>
      <x:c r="E12" t="str">
        <x:f>Resultados_Playoffs!F12</x:f>
        <x:v>1º Grupo L</x:v>
      </x:c>
      <x:c r="F12" t="str">
        <x:f>IF(OR(Resultados_Playoffs!G12="",Resultados_Playoffs!H12=""),"",Resultados_Playoffs!G12&amp;" x "&amp;Resultados_Playoffs!H12)</x:f>
      </x:c>
      <x:c r="G12" t="str">
        <x:f>Resultados_Playoffs!I12</x:f>
        <x:v>3º Grupo E/H/I/J/K</x:v>
      </x:c>
      <x:c r="H12" t="n">
        <x:f>Resultados_Playoffs!M12</x:f>
        <x:v>0</x:v>
      </x:c>
      <x:c r="I12" t="n">
        <x:f>Resultados_Playoffs!N12</x:f>
        <x:v>0</x:v>
      </x:c>
      <x:c r="J12" t="str">
        <x:f>Resultados_Playoffs!E12</x:f>
        <x:v>Atlanta Stadium</x:v>
      </x:c>
      <x:c r="K12" t="str">
        <x:f>Resultados_Playoffs!O12</x:f>
        <x:v>Pendente</x:v>
      </x:c>
      <x:c r="M12" s="37" t="str">
        <x:v>Campeão da Copa</x:v>
      </x:c>
      <x:c r="N12" s="38"/>
    </x:row>
    <x:row r="13">
      <x:c r="A13" t="n">
        <x:f>Resultados_Playoffs!B13</x:f>
        <x:v>81</x:v>
      </x:c>
      <x:c r="B13" t="str">
        <x:f>Resultados_Playoffs!A13</x:f>
        <x:v>16 avos</x:v>
      </x:c>
      <x:c r="C13" s="7" t="str">
        <x:f>Resultados_Playoffs!C13</x:f>
        <x:v>2026-07-01</x:v>
      </x:c>
      <x:c r="D13" s="8" t="str">
        <x:f>Resultados_Playoffs!D13</x:f>
        <x:v>21:00</x:v>
      </x:c>
      <x:c r="E13" t="str">
        <x:f>Resultados_Playoffs!F13</x:f>
        <x:v>USA</x:v>
      </x:c>
      <x:c r="F13" t="str">
        <x:f>IF(OR(Resultados_Playoffs!G13="",Resultados_Playoffs!H13=""),"",Resultados_Playoffs!G13&amp;" x "&amp;Resultados_Playoffs!H13)</x:f>
      </x:c>
      <x:c r="G13" t="str">
        <x:f>Resultados_Playoffs!I13</x:f>
        <x:v>Bosnia and Herzegovina</x:v>
      </x:c>
      <x:c r="H13" t="n">
        <x:f>Resultados_Playoffs!M13</x:f>
        <x:v>0</x:v>
      </x:c>
      <x:c r="I13" t="n">
        <x:f>Resultados_Playoffs!N13</x:f>
        <x:v>0</x:v>
      </x:c>
      <x:c r="J13" t="str">
        <x:f>Resultados_Playoffs!E13</x:f>
        <x:v>San Francisco Bay Area Stadium</x:v>
      </x:c>
      <x:c r="K13" t="str">
        <x:f>Resultados_Playoffs!O13</x:f>
        <x:v>Pendente</x:v>
      </x:c>
      <x:c r="M13" s="39" t="str">
        <x:v>Palpite vale 10% da pontuação total</x:v>
      </x:c>
      <x:c r="N13" s="40"/>
    </x:row>
    <x:row r="14">
      <x:c r="A14" t="n">
        <x:f>Resultados_Playoffs!B14</x:f>
        <x:v>82</x:v>
      </x:c>
      <x:c r="B14" t="str">
        <x:f>Resultados_Playoffs!A14</x:f>
        <x:v>16 avos</x:v>
      </x:c>
      <x:c r="C14" s="7" t="str">
        <x:f>Resultados_Playoffs!C14</x:f>
        <x:v>2026-07-01</x:v>
      </x:c>
      <x:c r="D14" s="8" t="str">
        <x:f>Resultados_Playoffs!D14</x:f>
        <x:v>17:00</x:v>
      </x:c>
      <x:c r="E14" t="str">
        <x:f>Resultados_Playoffs!F14</x:f>
        <x:v>Belgium</x:v>
      </x:c>
      <x:c r="F14" t="str">
        <x:f>IF(OR(Resultados_Playoffs!G14="",Resultados_Playoffs!H14=""),"",Resultados_Playoffs!G14&amp;" x "&amp;Resultados_Playoffs!H14)</x:f>
      </x:c>
      <x:c r="G14" t="str">
        <x:f>Resultados_Playoffs!I14</x:f>
        <x:v>3º Grupo A/E/H/I/J</x:v>
      </x:c>
      <x:c r="H14" t="n">
        <x:f>Resultados_Playoffs!M14</x:f>
        <x:v>0</x:v>
      </x:c>
      <x:c r="I14" t="n">
        <x:f>Resultados_Playoffs!N14</x:f>
        <x:v>0</x:v>
      </x:c>
      <x:c r="J14" t="str">
        <x:f>Resultados_Playoffs!E14</x:f>
        <x:v>Seattle Stadium</x:v>
      </x:c>
      <x:c r="K14" t="str">
        <x:f>Resultados_Playoffs!O14</x:f>
        <x:v>Pendente</x:v>
      </x:c>
    </x:row>
    <x:row r="15">
      <x:c r="A15" t="n">
        <x:f>Resultados_Playoffs!B15</x:f>
        <x:v>83</x:v>
      </x:c>
      <x:c r="B15" t="str">
        <x:f>Resultados_Playoffs!A15</x:f>
        <x:v>16 avos</x:v>
      </x:c>
      <x:c r="C15" s="7" t="str">
        <x:f>Resultados_Playoffs!C15</x:f>
        <x:v>2026-07-02</x:v>
      </x:c>
      <x:c r="D15" s="8" t="str">
        <x:f>Resultados_Playoffs!D15</x:f>
        <x:v>20:00</x:v>
      </x:c>
      <x:c r="E15" t="str">
        <x:f>Resultados_Playoffs!F15</x:f>
        <x:v>2º Grupo K</x:v>
      </x:c>
      <x:c r="F15" t="str">
        <x:f>IF(OR(Resultados_Playoffs!G15="",Resultados_Playoffs!H15=""),"",Resultados_Playoffs!G15&amp;" x "&amp;Resultados_Playoffs!H15)</x:f>
      </x:c>
      <x:c r="G15" t="str">
        <x:f>Resultados_Playoffs!I15</x:f>
        <x:v>2º Grupo L</x:v>
      </x:c>
      <x:c r="H15" t="n">
        <x:f>Resultados_Playoffs!M15</x:f>
        <x:v>0</x:v>
      </x:c>
      <x:c r="I15" t="n">
        <x:f>Resultados_Playoffs!N15</x:f>
        <x:v>0</x:v>
      </x:c>
      <x:c r="J15" t="str">
        <x:f>Resultados_Playoffs!E15</x:f>
        <x:v>Toronto Stadium</x:v>
      </x:c>
      <x:c r="K15" t="str">
        <x:f>Resultados_Playoffs!O15</x:f>
        <x:v>Pendente</x:v>
      </x:c>
    </x:row>
    <x:row r="16">
      <x:c r="A16" t="n">
        <x:f>Resultados_Playoffs!B16</x:f>
        <x:v>84</x:v>
      </x:c>
      <x:c r="B16" t="str">
        <x:f>Resultados_Playoffs!A16</x:f>
        <x:v>16 avos</x:v>
      </x:c>
      <x:c r="C16" s="7" t="str">
        <x:f>Resultados_Playoffs!C16</x:f>
        <x:v>2026-07-02</x:v>
      </x:c>
      <x:c r="D16" s="8" t="str">
        <x:f>Resultados_Playoffs!D16</x:f>
        <x:v>16:00</x:v>
      </x:c>
      <x:c r="E16" t="str">
        <x:f>Resultados_Playoffs!F16</x:f>
        <x:v>Spain</x:v>
      </x:c>
      <x:c r="F16" t="str">
        <x:f>IF(OR(Resultados_Playoffs!G16="",Resultados_Playoffs!H16=""),"",Resultados_Playoffs!G16&amp;" x "&amp;Resultados_Playoffs!H16)</x:f>
      </x:c>
      <x:c r="G16" t="str">
        <x:f>Resultados_Playoffs!I16</x:f>
        <x:v>2º Grupo J</x:v>
      </x:c>
      <x:c r="H16" t="n">
        <x:f>Resultados_Playoffs!M16</x:f>
        <x:v>0</x:v>
      </x:c>
      <x:c r="I16" t="n">
        <x:f>Resultados_Playoffs!N16</x:f>
        <x:v>0</x:v>
      </x:c>
      <x:c r="J16" t="str">
        <x:f>Resultados_Playoffs!E16</x:f>
        <x:v>Los Angeles Stadium</x:v>
      </x:c>
      <x:c r="K16" t="str">
        <x:f>Resultados_Playoffs!O16</x:f>
        <x:v>Pendente</x:v>
      </x:c>
    </x:row>
    <x:row r="17">
      <x:c r="A17" t="n">
        <x:f>Resultados_Playoffs!B17</x:f>
        <x:v>85</x:v>
      </x:c>
      <x:c r="B17" t="str">
        <x:f>Resultados_Playoffs!A17</x:f>
        <x:v>16 avos</x:v>
      </x:c>
      <x:c r="C17" s="7" t="str">
        <x:f>Resultados_Playoffs!C17</x:f>
        <x:v>2026-07-03</x:v>
      </x:c>
      <x:c r="D17" s="8" t="str">
        <x:f>Resultados_Playoffs!D17</x:f>
        <x:v>00:00</x:v>
      </x:c>
      <x:c r="E17" t="str">
        <x:f>Resultados_Playoffs!F17</x:f>
        <x:v>Switzerland</x:v>
      </x:c>
      <x:c r="F17" t="str">
        <x:f>IF(OR(Resultados_Playoffs!G17="",Resultados_Playoffs!H17=""),"",Resultados_Playoffs!G17&amp;" x "&amp;Resultados_Playoffs!H17)</x:f>
      </x:c>
      <x:c r="G17" t="str">
        <x:f>Resultados_Playoffs!I17</x:f>
        <x:v>3º Grupo E/F/G/I/J</x:v>
      </x:c>
      <x:c r="H17" t="n">
        <x:f>Resultados_Playoffs!M17</x:f>
        <x:v>0</x:v>
      </x:c>
      <x:c r="I17" t="n">
        <x:f>Resultados_Playoffs!N17</x:f>
        <x:v>0</x:v>
      </x:c>
      <x:c r="J17" t="str">
        <x:f>Resultados_Playoffs!E17</x:f>
        <x:v>BC Place Vancouver</x:v>
      </x:c>
      <x:c r="K17" t="str">
        <x:f>Resultados_Playoffs!O17</x:f>
        <x:v>Pendente</x:v>
      </x:c>
    </x:row>
    <x:row r="18">
      <x:c r="A18" t="n">
        <x:f>Resultados_Playoffs!B18</x:f>
        <x:v>86</x:v>
      </x:c>
      <x:c r="B18" t="str">
        <x:f>Resultados_Playoffs!A18</x:f>
        <x:v>16 avos</x:v>
      </x:c>
      <x:c r="C18" s="7" t="str">
        <x:f>Resultados_Playoffs!C18</x:f>
        <x:v>2026-07-03</x:v>
      </x:c>
      <x:c r="D18" s="8" t="str">
        <x:f>Resultados_Playoffs!D18</x:f>
        <x:v>19:00</x:v>
      </x:c>
      <x:c r="E18" t="str">
        <x:f>Resultados_Playoffs!F18</x:f>
        <x:v>Argentina</x:v>
      </x:c>
      <x:c r="F18" t="str">
        <x:f>IF(OR(Resultados_Playoffs!G18="",Resultados_Playoffs!H18=""),"",Resultados_Playoffs!G18&amp;" x "&amp;Resultados_Playoffs!H18)</x:f>
      </x:c>
      <x:c r="G18" t="str">
        <x:f>Resultados_Playoffs!I18</x:f>
        <x:v>Cape Verde</x:v>
      </x:c>
      <x:c r="H18" t="n">
        <x:f>Resultados_Playoffs!M18</x:f>
        <x:v>0</x:v>
      </x:c>
      <x:c r="I18" t="n">
        <x:f>Resultados_Playoffs!N18</x:f>
        <x:v>0</x:v>
      </x:c>
      <x:c r="J18" t="str">
        <x:f>Resultados_Playoffs!E18</x:f>
        <x:v>Miami Stadium</x:v>
      </x:c>
      <x:c r="K18" t="str">
        <x:f>Resultados_Playoffs!O18</x:f>
        <x:v>Pendente</x:v>
      </x:c>
    </x:row>
    <x:row r="19">
      <x:c r="A19" t="n">
        <x:f>Resultados_Playoffs!B19</x:f>
        <x:v>87</x:v>
      </x:c>
      <x:c r="B19" t="str">
        <x:f>Resultados_Playoffs!A19</x:f>
        <x:v>16 avos</x:v>
      </x:c>
      <x:c r="C19" s="7" t="str">
        <x:f>Resultados_Playoffs!C19</x:f>
        <x:v>2026-07-03</x:v>
      </x:c>
      <x:c r="D19" s="8" t="str">
        <x:f>Resultados_Playoffs!D19</x:f>
        <x:v>22:30</x:v>
      </x:c>
      <x:c r="E19" t="str">
        <x:f>Resultados_Playoffs!F19</x:f>
        <x:v>1º Grupo K</x:v>
      </x:c>
      <x:c r="F19" t="str">
        <x:f>IF(OR(Resultados_Playoffs!G19="",Resultados_Playoffs!H19=""),"",Resultados_Playoffs!G19&amp;" x "&amp;Resultados_Playoffs!H19)</x:f>
      </x:c>
      <x:c r="G19" t="str">
        <x:f>Resultados_Playoffs!I19</x:f>
        <x:v>3º Grupo D/E/I/J/L</x:v>
      </x:c>
      <x:c r="H19" t="n">
        <x:f>Resultados_Playoffs!M19</x:f>
        <x:v>0</x:v>
      </x:c>
      <x:c r="I19" t="n">
        <x:f>Resultados_Playoffs!N19</x:f>
        <x:v>0</x:v>
      </x:c>
      <x:c r="J19" t="str">
        <x:f>Resultados_Playoffs!E19</x:f>
        <x:v>Kansas City Stadium</x:v>
      </x:c>
      <x:c r="K19" t="str">
        <x:f>Resultados_Playoffs!O19</x:f>
        <x:v>Pendente</x:v>
      </x:c>
    </x:row>
    <x:row r="20">
      <x:c r="A20" t="n">
        <x:f>Resultados_Playoffs!B20</x:f>
        <x:v>88</x:v>
      </x:c>
      <x:c r="B20" t="str">
        <x:f>Resultados_Playoffs!A20</x:f>
        <x:v>16 avos</x:v>
      </x:c>
      <x:c r="C20" s="7" t="str">
        <x:f>Resultados_Playoffs!C20</x:f>
        <x:v>2026-07-03</x:v>
      </x:c>
      <x:c r="D20" s="8" t="str">
        <x:f>Resultados_Playoffs!D20</x:f>
        <x:v>15:00</x:v>
      </x:c>
      <x:c r="E20" t="str">
        <x:f>Resultados_Playoffs!F20</x:f>
        <x:v>Australia</x:v>
      </x:c>
      <x:c r="F20" t="str">
        <x:f>IF(OR(Resultados_Playoffs!G20="",Resultados_Playoffs!H20=""),"",Resultados_Playoffs!G20&amp;" x "&amp;Resultados_Playoffs!H20)</x:f>
      </x:c>
      <x:c r="G20" t="str">
        <x:f>Resultados_Playoffs!I20</x:f>
        <x:v>Egypt</x:v>
      </x:c>
      <x:c r="H20" t="n">
        <x:f>Resultados_Playoffs!M20</x:f>
        <x:v>0</x:v>
      </x:c>
      <x:c r="I20" t="n">
        <x:f>Resultados_Playoffs!N20</x:f>
        <x:v>0</x:v>
      </x:c>
      <x:c r="J20" t="str">
        <x:f>Resultados_Playoffs!E20</x:f>
        <x:v>Dallas Stadium</x:v>
      </x:c>
      <x:c r="K20" t="str">
        <x:f>Resultados_Playoffs!O20</x:f>
        <x:v>Pendente</x:v>
      </x:c>
    </x:row>
    <x:row r="21">
      <x:c r="A21" t="n">
        <x:f>Resultados_Playoffs!B21</x:f>
        <x:v>89</x:v>
      </x:c>
      <x:c r="B21" t="str">
        <x:f>Resultados_Playoffs!A21</x:f>
        <x:v>Oitavas</x:v>
      </x:c>
      <x:c r="C21" s="7" t="str">
        <x:f>Resultados_Playoffs!C21</x:f>
        <x:v>2026-07-04</x:v>
      </x:c>
      <x:c r="D21" s="8" t="str">
        <x:f>Resultados_Playoffs!D21</x:f>
        <x:v>18:00</x:v>
      </x:c>
      <x:c r="E21" t="str">
        <x:f>Resultados_Playoffs!F21</x:f>
        <x:v>Vencedor jogo 74</x:v>
      </x:c>
      <x:c r="F21" t="str">
        <x:f>IF(OR(Resultados_Playoffs!G21="",Resultados_Playoffs!H21=""),"",Resultados_Playoffs!G21&amp;" x "&amp;Resultados_Playoffs!H21)</x:f>
      </x:c>
      <x:c r="G21" t="str">
        <x:f>Resultados_Playoffs!I21</x:f>
        <x:v>Vencedor jogo 77</x:v>
      </x:c>
      <x:c r="H21" t="n">
        <x:f>Resultados_Playoffs!M21</x:f>
        <x:v>0</x:v>
      </x:c>
      <x:c r="I21" t="n">
        <x:f>Resultados_Playoffs!N21</x:f>
        <x:v>0</x:v>
      </x:c>
      <x:c r="J21" t="str">
        <x:f>Resultados_Playoffs!E21</x:f>
        <x:v>Philadelphia Stadium</x:v>
      </x:c>
      <x:c r="K21" t="str">
        <x:f>Resultados_Playoffs!O21</x:f>
        <x:v>Pendente</x:v>
      </x:c>
    </x:row>
    <x:row r="22">
      <x:c r="A22" t="n">
        <x:f>Resultados_Playoffs!B22</x:f>
        <x:v>90</x:v>
      </x:c>
      <x:c r="B22" t="str">
        <x:f>Resultados_Playoffs!A22</x:f>
        <x:v>Oitavas</x:v>
      </x:c>
      <x:c r="C22" s="7" t="str">
        <x:f>Resultados_Playoffs!C22</x:f>
        <x:v>2026-07-04</x:v>
      </x:c>
      <x:c r="D22" s="8" t="str">
        <x:f>Resultados_Playoffs!D22</x:f>
        <x:v>14:00</x:v>
      </x:c>
      <x:c r="E22" t="str">
        <x:f>Resultados_Playoffs!F22</x:f>
        <x:v>Vencedor jogo 73</x:v>
      </x:c>
      <x:c r="F22" t="str">
        <x:f>IF(OR(Resultados_Playoffs!G22="",Resultados_Playoffs!H22=""),"",Resultados_Playoffs!G22&amp;" x "&amp;Resultados_Playoffs!H22)</x:f>
      </x:c>
      <x:c r="G22" t="str">
        <x:f>Resultados_Playoffs!I22</x:f>
        <x:v>Vencedor jogo 75</x:v>
      </x:c>
      <x:c r="H22" t="n">
        <x:f>Resultados_Playoffs!M22</x:f>
        <x:v>0</x:v>
      </x:c>
      <x:c r="I22" t="n">
        <x:f>Resultados_Playoffs!N22</x:f>
        <x:v>0</x:v>
      </x:c>
      <x:c r="J22" t="str">
        <x:f>Resultados_Playoffs!E22</x:f>
        <x:v>Houston Stadium</x:v>
      </x:c>
      <x:c r="K22" t="str">
        <x:f>Resultados_Playoffs!O22</x:f>
        <x:v>Pendente</x:v>
      </x:c>
    </x:row>
    <x:row r="23">
      <x:c r="A23" t="n">
        <x:f>Resultados_Playoffs!B23</x:f>
        <x:v>91</x:v>
      </x:c>
      <x:c r="B23" t="str">
        <x:f>Resultados_Playoffs!A23</x:f>
        <x:v>Oitavas</x:v>
      </x:c>
      <x:c r="C23" s="7" t="str">
        <x:f>Resultados_Playoffs!C23</x:f>
        <x:v>2026-07-05</x:v>
      </x:c>
      <x:c r="D23" s="8" t="str">
        <x:f>Resultados_Playoffs!D23</x:f>
        <x:v>17:00</x:v>
      </x:c>
      <x:c r="E23" t="str">
        <x:f>Resultados_Playoffs!F23</x:f>
        <x:v>Vencedor jogo 76</x:v>
      </x:c>
      <x:c r="F23" t="str">
        <x:f>IF(OR(Resultados_Playoffs!G23="",Resultados_Playoffs!H23=""),"",Resultados_Playoffs!G23&amp;" x "&amp;Resultados_Playoffs!H23)</x:f>
      </x:c>
      <x:c r="G23" t="str">
        <x:f>Resultados_Playoffs!I23</x:f>
        <x:v>Vencedor jogo 78</x:v>
      </x:c>
      <x:c r="H23" t="n">
        <x:f>Resultados_Playoffs!M23</x:f>
        <x:v>0</x:v>
      </x:c>
      <x:c r="I23" t="n">
        <x:f>Resultados_Playoffs!N23</x:f>
        <x:v>0</x:v>
      </x:c>
      <x:c r="J23" t="str">
        <x:f>Resultados_Playoffs!E23</x:f>
        <x:v>New York/New Jersey Stadium</x:v>
      </x:c>
      <x:c r="K23" t="str">
        <x:f>Resultados_Playoffs!O23</x:f>
        <x:v>Pendente</x:v>
      </x:c>
    </x:row>
    <x:row r="24">
      <x:c r="A24" t="n">
        <x:f>Resultados_Playoffs!B24</x:f>
        <x:v>92</x:v>
      </x:c>
      <x:c r="B24" t="str">
        <x:f>Resultados_Playoffs!A24</x:f>
        <x:v>Oitavas</x:v>
      </x:c>
      <x:c r="C24" s="7" t="str">
        <x:f>Resultados_Playoffs!C24</x:f>
        <x:v>2026-07-05</x:v>
      </x:c>
      <x:c r="D24" s="8" t="str">
        <x:f>Resultados_Playoffs!D24</x:f>
        <x:v>21:00</x:v>
      </x:c>
      <x:c r="E24" t="str">
        <x:f>Resultados_Playoffs!F24</x:f>
        <x:v>Vencedor jogo 79</x:v>
      </x:c>
      <x:c r="F24" t="str">
        <x:f>IF(OR(Resultados_Playoffs!G24="",Resultados_Playoffs!H24=""),"",Resultados_Playoffs!G24&amp;" x "&amp;Resultados_Playoffs!H24)</x:f>
      </x:c>
      <x:c r="G24" t="str">
        <x:f>Resultados_Playoffs!I24</x:f>
        <x:v>Vencedor jogo 80</x:v>
      </x:c>
      <x:c r="H24" t="n">
        <x:f>Resultados_Playoffs!M24</x:f>
        <x:v>0</x:v>
      </x:c>
      <x:c r="I24" t="n">
        <x:f>Resultados_Playoffs!N24</x:f>
        <x:v>0</x:v>
      </x:c>
      <x:c r="J24" t="str">
        <x:f>Resultados_Playoffs!E24</x:f>
        <x:v>Mexico City Stadium</x:v>
      </x:c>
      <x:c r="K24" t="str">
        <x:f>Resultados_Playoffs!O24</x:f>
        <x:v>Pendente</x:v>
      </x:c>
    </x:row>
    <x:row r="25">
      <x:c r="A25" t="n">
        <x:f>Resultados_Playoffs!B25</x:f>
        <x:v>93</x:v>
      </x:c>
      <x:c r="B25" t="str">
        <x:f>Resultados_Playoffs!A25</x:f>
        <x:v>Oitavas</x:v>
      </x:c>
      <x:c r="C25" s="7" t="str">
        <x:f>Resultados_Playoffs!C25</x:f>
        <x:v>2026-07-06</x:v>
      </x:c>
      <x:c r="D25" s="8" t="str">
        <x:f>Resultados_Playoffs!D25</x:f>
        <x:v>16:00</x:v>
      </x:c>
      <x:c r="E25" t="str">
        <x:f>Resultados_Playoffs!F25</x:f>
        <x:v>Vencedor jogo 83</x:v>
      </x:c>
      <x:c r="F25" t="str">
        <x:f>IF(OR(Resultados_Playoffs!G25="",Resultados_Playoffs!H25=""),"",Resultados_Playoffs!G25&amp;" x "&amp;Resultados_Playoffs!H25)</x:f>
      </x:c>
      <x:c r="G25" t="str">
        <x:f>Resultados_Playoffs!I25</x:f>
        <x:v>Vencedor jogo 84</x:v>
      </x:c>
      <x:c r="H25" t="n">
        <x:f>Resultados_Playoffs!M25</x:f>
        <x:v>0</x:v>
      </x:c>
      <x:c r="I25" t="n">
        <x:f>Resultados_Playoffs!N25</x:f>
        <x:v>0</x:v>
      </x:c>
      <x:c r="J25" t="str">
        <x:f>Resultados_Playoffs!E25</x:f>
        <x:v>Dallas Stadium</x:v>
      </x:c>
      <x:c r="K25" t="str">
        <x:f>Resultados_Playoffs!O25</x:f>
        <x:v>Pendente</x:v>
      </x:c>
    </x:row>
    <x:row r="26">
      <x:c r="A26" t="n">
        <x:f>Resultados_Playoffs!B26</x:f>
        <x:v>94</x:v>
      </x:c>
      <x:c r="B26" t="str">
        <x:f>Resultados_Playoffs!A26</x:f>
        <x:v>Oitavas</x:v>
      </x:c>
      <x:c r="C26" s="7" t="str">
        <x:f>Resultados_Playoffs!C26</x:f>
        <x:v>2026-07-06</x:v>
      </x:c>
      <x:c r="D26" s="8" t="str">
        <x:f>Resultados_Playoffs!D26</x:f>
        <x:v>21:00</x:v>
      </x:c>
      <x:c r="E26" t="str">
        <x:f>Resultados_Playoffs!F26</x:f>
        <x:v>Vencedor jogo 81</x:v>
      </x:c>
      <x:c r="F26" t="str">
        <x:f>IF(OR(Resultados_Playoffs!G26="",Resultados_Playoffs!H26=""),"",Resultados_Playoffs!G26&amp;" x "&amp;Resultados_Playoffs!H26)</x:f>
      </x:c>
      <x:c r="G26" t="str">
        <x:f>Resultados_Playoffs!I26</x:f>
        <x:v>Vencedor jogo 82</x:v>
      </x:c>
      <x:c r="H26" t="n">
        <x:f>Resultados_Playoffs!M26</x:f>
        <x:v>0</x:v>
      </x:c>
      <x:c r="I26" t="n">
        <x:f>Resultados_Playoffs!N26</x:f>
        <x:v>0</x:v>
      </x:c>
      <x:c r="J26" t="str">
        <x:f>Resultados_Playoffs!E26</x:f>
        <x:v>Seattle Stadium</x:v>
      </x:c>
      <x:c r="K26" t="str">
        <x:f>Resultados_Playoffs!O26</x:f>
        <x:v>Pendente</x:v>
      </x:c>
    </x:row>
    <x:row r="27">
      <x:c r="A27" t="n">
        <x:f>Resultados_Playoffs!B27</x:f>
        <x:v>95</x:v>
      </x:c>
      <x:c r="B27" t="str">
        <x:f>Resultados_Playoffs!A27</x:f>
        <x:v>Oitavas</x:v>
      </x:c>
      <x:c r="C27" s="7" t="str">
        <x:f>Resultados_Playoffs!C27</x:f>
        <x:v>2026-07-07</x:v>
      </x:c>
      <x:c r="D27" s="8" t="str">
        <x:f>Resultados_Playoffs!D27</x:f>
        <x:v>13:00</x:v>
      </x:c>
      <x:c r="E27" t="str">
        <x:f>Resultados_Playoffs!F27</x:f>
        <x:v>Vencedor jogo 86</x:v>
      </x:c>
      <x:c r="F27" t="str">
        <x:f>IF(OR(Resultados_Playoffs!G27="",Resultados_Playoffs!H27=""),"",Resultados_Playoffs!G27&amp;" x "&amp;Resultados_Playoffs!H27)</x:f>
      </x:c>
      <x:c r="G27" t="str">
        <x:f>Resultados_Playoffs!I27</x:f>
        <x:v>Vencedor jogo 88</x:v>
      </x:c>
      <x:c r="H27" t="n">
        <x:f>Resultados_Playoffs!M27</x:f>
        <x:v>0</x:v>
      </x:c>
      <x:c r="I27" t="n">
        <x:f>Resultados_Playoffs!N27</x:f>
        <x:v>0</x:v>
      </x:c>
      <x:c r="J27" t="str">
        <x:f>Resultados_Playoffs!E27</x:f>
        <x:v>Atlanta Stadium</x:v>
      </x:c>
      <x:c r="K27" t="str">
        <x:f>Resultados_Playoffs!O27</x:f>
        <x:v>Pendente</x:v>
      </x:c>
    </x:row>
    <x:row r="28">
      <x:c r="A28" t="n">
        <x:f>Resultados_Playoffs!B28</x:f>
        <x:v>96</x:v>
      </x:c>
      <x:c r="B28" t="str">
        <x:f>Resultados_Playoffs!A28</x:f>
        <x:v>Oitavas</x:v>
      </x:c>
      <x:c r="C28" s="7" t="str">
        <x:f>Resultados_Playoffs!C28</x:f>
        <x:v>2026-07-07</x:v>
      </x:c>
      <x:c r="D28" s="8" t="str">
        <x:f>Resultados_Playoffs!D28</x:f>
        <x:v>17:00</x:v>
      </x:c>
      <x:c r="E28" t="str">
        <x:f>Resultados_Playoffs!F28</x:f>
        <x:v>Vencedor jogo 85</x:v>
      </x:c>
      <x:c r="F28" t="str">
        <x:f>IF(OR(Resultados_Playoffs!G28="",Resultados_Playoffs!H28=""),"",Resultados_Playoffs!G28&amp;" x "&amp;Resultados_Playoffs!H28)</x:f>
      </x:c>
      <x:c r="G28" t="str">
        <x:f>Resultados_Playoffs!I28</x:f>
        <x:v>Vencedor jogo 87</x:v>
      </x:c>
      <x:c r="H28" t="n">
        <x:f>Resultados_Playoffs!M28</x:f>
        <x:v>0</x:v>
      </x:c>
      <x:c r="I28" t="n">
        <x:f>Resultados_Playoffs!N28</x:f>
        <x:v>0</x:v>
      </x:c>
      <x:c r="J28" t="str">
        <x:f>Resultados_Playoffs!E28</x:f>
        <x:v>BC Place Vancouver</x:v>
      </x:c>
      <x:c r="K28" t="str">
        <x:f>Resultados_Playoffs!O28</x:f>
        <x:v>Pendente</x:v>
      </x:c>
    </x:row>
    <x:row r="29">
      <x:c r="A29" t="n">
        <x:f>Resultados_Playoffs!B29</x:f>
        <x:v>97</x:v>
      </x:c>
      <x:c r="B29" t="str">
        <x:f>Resultados_Playoffs!A29</x:f>
        <x:v>Quartas</x:v>
      </x:c>
      <x:c r="C29" s="7" t="str">
        <x:f>Resultados_Playoffs!C29</x:f>
        <x:v>2026-07-09</x:v>
      </x:c>
      <x:c r="D29" s="8" t="str">
        <x:f>Resultados_Playoffs!D29</x:f>
        <x:v>17:00</x:v>
      </x:c>
      <x:c r="E29" t="str">
        <x:f>Resultados_Playoffs!F29</x:f>
        <x:v>Vencedor jogo 89</x:v>
      </x:c>
      <x:c r="F29" t="str">
        <x:f>IF(OR(Resultados_Playoffs!G29="",Resultados_Playoffs!H29=""),"",Resultados_Playoffs!G29&amp;" x "&amp;Resultados_Playoffs!H29)</x:f>
      </x:c>
      <x:c r="G29" t="str">
        <x:f>Resultados_Playoffs!I29</x:f>
        <x:v>Vencedor jogo 90</x:v>
      </x:c>
      <x:c r="H29" t="n">
        <x:f>Resultados_Playoffs!M29</x:f>
        <x:v>0</x:v>
      </x:c>
      <x:c r="I29" t="n">
        <x:f>Resultados_Playoffs!N29</x:f>
        <x:v>0</x:v>
      </x:c>
      <x:c r="J29" t="str">
        <x:f>Resultados_Playoffs!E29</x:f>
        <x:v>Boston Stadium</x:v>
      </x:c>
      <x:c r="K29" t="str">
        <x:f>Resultados_Playoffs!O29</x:f>
        <x:v>Pendente</x:v>
      </x:c>
    </x:row>
    <x:row r="30">
      <x:c r="A30" t="n">
        <x:f>Resultados_Playoffs!B30</x:f>
        <x:v>98</x:v>
      </x:c>
      <x:c r="B30" t="str">
        <x:f>Resultados_Playoffs!A30</x:f>
        <x:v>Quartas</x:v>
      </x:c>
      <x:c r="C30" s="7" t="str">
        <x:f>Resultados_Playoffs!C30</x:f>
        <x:v>2026-07-10</x:v>
      </x:c>
      <x:c r="D30" s="8" t="str">
        <x:f>Resultados_Playoffs!D30</x:f>
        <x:v>16:00</x:v>
      </x:c>
      <x:c r="E30" t="str">
        <x:f>Resultados_Playoffs!F30</x:f>
        <x:v>Vencedor jogo 93</x:v>
      </x:c>
      <x:c r="F30" t="str">
        <x:f>IF(OR(Resultados_Playoffs!G30="",Resultados_Playoffs!H30=""),"",Resultados_Playoffs!G30&amp;" x "&amp;Resultados_Playoffs!H30)</x:f>
      </x:c>
      <x:c r="G30" t="str">
        <x:f>Resultados_Playoffs!I30</x:f>
        <x:v>Vencedor jogo 94</x:v>
      </x:c>
      <x:c r="H30" t="n">
        <x:f>Resultados_Playoffs!M30</x:f>
        <x:v>0</x:v>
      </x:c>
      <x:c r="I30" t="n">
        <x:f>Resultados_Playoffs!N30</x:f>
        <x:v>0</x:v>
      </x:c>
      <x:c r="J30" t="str">
        <x:f>Resultados_Playoffs!E30</x:f>
        <x:v>Los Angeles Stadium</x:v>
      </x:c>
      <x:c r="K30" t="str">
        <x:f>Resultados_Playoffs!O30</x:f>
        <x:v>Pendente</x:v>
      </x:c>
    </x:row>
    <x:row r="31">
      <x:c r="A31" t="n">
        <x:f>Resultados_Playoffs!B31</x:f>
        <x:v>99</x:v>
      </x:c>
      <x:c r="B31" t="str">
        <x:f>Resultados_Playoffs!A31</x:f>
        <x:v>Quartas</x:v>
      </x:c>
      <x:c r="C31" s="7" t="str">
        <x:f>Resultados_Playoffs!C31</x:f>
        <x:v>2026-07-11</x:v>
      </x:c>
      <x:c r="D31" s="8" t="str">
        <x:f>Resultados_Playoffs!D31</x:f>
        <x:v>18:00</x:v>
      </x:c>
      <x:c r="E31" t="str">
        <x:f>Resultados_Playoffs!F31</x:f>
        <x:v>Vencedor jogo 91</x:v>
      </x:c>
      <x:c r="F31" t="str">
        <x:f>IF(OR(Resultados_Playoffs!G31="",Resultados_Playoffs!H31=""),"",Resultados_Playoffs!G31&amp;" x "&amp;Resultados_Playoffs!H31)</x:f>
      </x:c>
      <x:c r="G31" t="str">
        <x:f>Resultados_Playoffs!I31</x:f>
        <x:v>Vencedor jogo 92</x:v>
      </x:c>
      <x:c r="H31" t="n">
        <x:f>Resultados_Playoffs!M31</x:f>
        <x:v>0</x:v>
      </x:c>
      <x:c r="I31" t="n">
        <x:f>Resultados_Playoffs!N31</x:f>
        <x:v>0</x:v>
      </x:c>
      <x:c r="J31" t="str">
        <x:f>Resultados_Playoffs!E31</x:f>
        <x:v>Miami Stadium</x:v>
      </x:c>
      <x:c r="K31" t="str">
        <x:f>Resultados_Playoffs!O31</x:f>
        <x:v>Pendente</x:v>
      </x:c>
    </x:row>
    <x:row r="32">
      <x:c r="A32" t="n">
        <x:f>Resultados_Playoffs!B32</x:f>
        <x:v>100</x:v>
      </x:c>
      <x:c r="B32" t="str">
        <x:f>Resultados_Playoffs!A32</x:f>
        <x:v>Quartas</x:v>
      </x:c>
      <x:c r="C32" s="7" t="str">
        <x:f>Resultados_Playoffs!C32</x:f>
        <x:v>2026-07-11</x:v>
      </x:c>
      <x:c r="D32" s="8" t="str">
        <x:f>Resultados_Playoffs!D32</x:f>
        <x:v>22:00</x:v>
      </x:c>
      <x:c r="E32" t="str">
        <x:f>Resultados_Playoffs!F32</x:f>
        <x:v>Vencedor jogo 95</x:v>
      </x:c>
      <x:c r="F32" t="str">
        <x:f>IF(OR(Resultados_Playoffs!G32="",Resultados_Playoffs!H32=""),"",Resultados_Playoffs!G32&amp;" x "&amp;Resultados_Playoffs!H32)</x:f>
      </x:c>
      <x:c r="G32" t="str">
        <x:f>Resultados_Playoffs!I32</x:f>
        <x:v>Vencedor jogo 96</x:v>
      </x:c>
      <x:c r="H32" t="n">
        <x:f>Resultados_Playoffs!M32</x:f>
        <x:v>0</x:v>
      </x:c>
      <x:c r="I32" t="n">
        <x:f>Resultados_Playoffs!N32</x:f>
        <x:v>0</x:v>
      </x:c>
      <x:c r="J32" t="str">
        <x:f>Resultados_Playoffs!E32</x:f>
        <x:v>Kansas City Stadium</x:v>
      </x:c>
      <x:c r="K32" t="str">
        <x:f>Resultados_Playoffs!O32</x:f>
        <x:v>Pendente</x:v>
      </x:c>
    </x:row>
    <x:row r="33">
      <x:c r="A33" t="n">
        <x:f>Resultados_Playoffs!B33</x:f>
        <x:v>101</x:v>
      </x:c>
      <x:c r="B33" t="str">
        <x:f>Resultados_Playoffs!A33</x:f>
        <x:v>Semifinal</x:v>
      </x:c>
      <x:c r="C33" s="7" t="str">
        <x:f>Resultados_Playoffs!C33</x:f>
        <x:v>2026-07-14</x:v>
      </x:c>
      <x:c r="D33" s="8" t="str">
        <x:f>Resultados_Playoffs!D33</x:f>
        <x:v>16:00</x:v>
      </x:c>
      <x:c r="E33" t="str">
        <x:f>Resultados_Playoffs!F33</x:f>
        <x:v>Vencedor jogo 97</x:v>
      </x:c>
      <x:c r="F33" t="str">
        <x:f>IF(OR(Resultados_Playoffs!G33="",Resultados_Playoffs!H33=""),"",Resultados_Playoffs!G33&amp;" x "&amp;Resultados_Playoffs!H33)</x:f>
      </x:c>
      <x:c r="G33" t="str">
        <x:f>Resultados_Playoffs!I33</x:f>
        <x:v>Vencedor jogo 98</x:v>
      </x:c>
      <x:c r="H33" t="n">
        <x:f>Resultados_Playoffs!M33</x:f>
        <x:v>0</x:v>
      </x:c>
      <x:c r="I33" t="n">
        <x:f>Resultados_Playoffs!N33</x:f>
        <x:v>0</x:v>
      </x:c>
      <x:c r="J33" t="str">
        <x:f>Resultados_Playoffs!E33</x:f>
        <x:v>Dallas Stadium</x:v>
      </x:c>
      <x:c r="K33" t="str">
        <x:f>Resultados_Playoffs!O33</x:f>
        <x:v>Pendente</x:v>
      </x:c>
    </x:row>
    <x:row r="34">
      <x:c r="A34" t="n">
        <x:f>Resultados_Playoffs!B34</x:f>
        <x:v>102</x:v>
      </x:c>
      <x:c r="B34" t="str">
        <x:f>Resultados_Playoffs!A34</x:f>
        <x:v>Semifinal</x:v>
      </x:c>
      <x:c r="C34" s="7" t="str">
        <x:f>Resultados_Playoffs!C34</x:f>
        <x:v>2026-07-15</x:v>
      </x:c>
      <x:c r="D34" s="8" t="str">
        <x:f>Resultados_Playoffs!D34</x:f>
        <x:v>16:00</x:v>
      </x:c>
      <x:c r="E34" t="str">
        <x:f>Resultados_Playoffs!F34</x:f>
        <x:v>Vencedor jogo 99</x:v>
      </x:c>
      <x:c r="F34" t="str">
        <x:f>IF(OR(Resultados_Playoffs!G34="",Resultados_Playoffs!H34=""),"",Resultados_Playoffs!G34&amp;" x "&amp;Resultados_Playoffs!H34)</x:f>
      </x:c>
      <x:c r="G34" t="str">
        <x:f>Resultados_Playoffs!I34</x:f>
        <x:v>Vencedor jogo 100</x:v>
      </x:c>
      <x:c r="H34" t="n">
        <x:f>Resultados_Playoffs!M34</x:f>
        <x:v>0</x:v>
      </x:c>
      <x:c r="I34" t="n">
        <x:f>Resultados_Playoffs!N34</x:f>
        <x:v>0</x:v>
      </x:c>
      <x:c r="J34" t="str">
        <x:f>Resultados_Playoffs!E34</x:f>
        <x:v>Atlanta Stadium</x:v>
      </x:c>
      <x:c r="K34" t="str">
        <x:f>Resultados_Playoffs!O34</x:f>
        <x:v>Pendente</x:v>
      </x:c>
    </x:row>
    <x:row r="35">
      <x:c r="A35" t="n">
        <x:f>Resultados_Playoffs!B35</x:f>
        <x:v>103</x:v>
      </x:c>
      <x:c r="B35" t="str">
        <x:f>Resultados_Playoffs!A35</x:f>
        <x:v>3º lugar</x:v>
      </x:c>
      <x:c r="C35" s="7" t="str">
        <x:f>Resultados_Playoffs!C35</x:f>
        <x:v>2026-07-18</x:v>
      </x:c>
      <x:c r="D35" s="8" t="str">
        <x:f>Resultados_Playoffs!D35</x:f>
        <x:v>18:00</x:v>
      </x:c>
      <x:c r="E35" t="str">
        <x:f>Resultados_Playoffs!F35</x:f>
        <x:v>Perdedor jogo 101</x:v>
      </x:c>
      <x:c r="F35" t="str">
        <x:f>IF(OR(Resultados_Playoffs!G35="",Resultados_Playoffs!H35=""),"",Resultados_Playoffs!G35&amp;" x "&amp;Resultados_Playoffs!H35)</x:f>
      </x:c>
      <x:c r="G35" t="str">
        <x:f>Resultados_Playoffs!I35</x:f>
        <x:v>Perdedor jogo 102</x:v>
      </x:c>
      <x:c r="H35" t="n">
        <x:f>Resultados_Playoffs!M35</x:f>
        <x:v>0</x:v>
      </x:c>
      <x:c r="I35" t="n">
        <x:f>Resultados_Playoffs!N35</x:f>
        <x:v>0</x:v>
      </x:c>
      <x:c r="J35" t="str">
        <x:f>Resultados_Playoffs!E35</x:f>
        <x:v>Miami Stadium</x:v>
      </x:c>
      <x:c r="K35" t="str">
        <x:f>Resultados_Playoffs!O35</x:f>
        <x:v>Pendente</x:v>
      </x:c>
    </x:row>
    <x:row r="36">
      <x:c r="A36" t="n">
        <x:f>Resultados_Playoffs!B36</x:f>
        <x:v>104</x:v>
      </x:c>
      <x:c r="B36" t="str">
        <x:f>Resultados_Playoffs!A36</x:f>
        <x:v>Final</x:v>
      </x:c>
      <x:c r="C36" s="7" t="str">
        <x:f>Resultados_Playoffs!C36</x:f>
        <x:v>2026-07-19</x:v>
      </x:c>
      <x:c r="D36" s="8" t="str">
        <x:f>Resultados_Playoffs!D36</x:f>
        <x:v>16:00</x:v>
      </x:c>
      <x:c r="E36" t="str">
        <x:f>Resultados_Playoffs!F36</x:f>
        <x:v>Vencedor jogo 101</x:v>
      </x:c>
      <x:c r="F36" t="str">
        <x:f>IF(OR(Resultados_Playoffs!G36="",Resultados_Playoffs!H36=""),"",Resultados_Playoffs!G36&amp;" x "&amp;Resultados_Playoffs!H36)</x:f>
      </x:c>
      <x:c r="G36" t="str">
        <x:f>Resultados_Playoffs!I36</x:f>
        <x:v>Vencedor jogo 102</x:v>
      </x:c>
      <x:c r="H36" t="n">
        <x:f>Resultados_Playoffs!M36</x:f>
        <x:v>0</x:v>
      </x:c>
      <x:c r="I36" t="n">
        <x:f>Resultados_Playoffs!N36</x:f>
        <x:v>0</x:v>
      </x:c>
      <x:c r="J36" t="str">
        <x:f>Resultados_Playoffs!E36</x:f>
        <x:v>New York/New Jersey Stadium</x:v>
      </x:c>
      <x:c r="K36" t="str">
        <x:f>Resultados_Playoffs!O36</x:f>
        <x:v>Pendente</x:v>
      </x:c>
    </x:row>
  </x:sheetData>
  <x:mergeCells>
    <x:mergeCell ref="A1:K1"/>
    <x:mergeCell ref="A2:K2"/>
    <x:mergeCell ref="M1:O1"/>
    <x:mergeCell ref="M12:N12"/>
    <x:mergeCell ref="M13:N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17.83203125" customWidth="1"/>
    <x:col min="2" max="2" width="68.83203125" customWidth="1"/>
    <x:col min="3" max="3" width="20" customWidth="1"/>
    <x:col min="4" max="4" width="37.83203125" customWidth="1"/>
  </x:cols>
  <x:sheetData>
    <x:row r="1" ht="30" customHeight="1">
      <x:c r="A1" s="1" t="s">
        <x:v>112</x:v>
      </x:c>
      <x:c r="B1" s="1" t="s">
        <x:v>113</x:v>
      </x:c>
      <x:c r="C1" s="1" t="s">
        <x:v>114</x:v>
      </x:c>
      <x:c r="D1" s="1" t="s">
        <x:v>115</x:v>
      </x:c>
    </x:row>
    <x:row r="2">
      <x:c r="A2" t="s">
        <x:v>116</x:v>
      </x:c>
      <x:c r="B2" t="s">
        <x:v>117</x:v>
      </x:c>
      <x:c r="C2" t="s">
        <x:v>118</x:v>
      </x:c>
      <x:c r="D2" t="s">
        <x:v>119</x:v>
      </x:c>
    </x:row>
    <x:row r="3">
      <x:c r="A3" t="s">
        <x:v>120</x:v>
      </x:c>
      <x:c r="B3" t="s">
        <x:v>121</x:v>
      </x:c>
      <x:c r="C3" t="s">
        <x:v>122</x:v>
      </x:c>
      <x:c r="D3" t="s">
        <x:v>123</x:v>
      </x:c>
    </x:row>
    <x:row r="4">
      <x:c r="A4" t="s">
        <x:v>124</x:v>
      </x:c>
      <x:c r="B4" t="s">
        <x:v>125</x:v>
      </x:c>
      <x:c r="C4" t="s">
        <x:v>126</x:v>
      </x:c>
      <x:c r="D4" t="s">
        <x:v>127</x:v>
      </x:c>
    </x:row>
    <x:row r="5">
      <x:c r="A5" t="str">
        <x:v>Google Sheet do bolão</x:v>
      </x:c>
      <x:c r="B5" t="str">
        <x:v>Configurada no dashboard local</x:v>
      </x:c>
      <x:c r="C5" t="str">
        <x:v>Placares</x:v>
      </x:c>
      <x:c r="D5" t="str">
        <x:v>Placares de 2026-06-26 usados para atualizar Grupos H e I; J/K/L seguem pendentes em 2026-06-27.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2" width="14.5" customWidth="1"/>
  </x:cols>
  <x:sheetData>
    <x:row r="1" ht="30" customHeight="1">
      <x:c r="A1" s="1" t="s">
        <x:v>16</x:v>
      </x:c>
      <x:c r="B1" s="1" t="s">
        <x:v>11</x:v>
      </x:c>
    </x:row>
    <x:row r="2">
      <x:c r="A2" t="s">
        <x:v>25</x:v>
      </x:c>
      <x:c r="B2" t="s">
        <x:v>24</x:v>
      </x:c>
    </x:row>
    <x:row r="3">
      <x:c r="A3" t="s">
        <x:v>128</x:v>
      </x:c>
      <x:c r="B3" t="s">
        <x:v>129</x:v>
      </x:c>
    </x:row>
    <x:row r="4">
      <x:c r="A4" t="s">
        <x:v>130</x:v>
      </x:c>
    </x:row>
  </x:sheetData>
  <x:pageMargins left="0.7" right="0.7" top="0.75" bottom="0.75" header="0.3" footer="0.3"/>
</x:worksheet>
</file>